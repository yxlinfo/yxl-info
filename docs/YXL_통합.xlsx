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jana\OneDrive\바탕 화면\"/>
    </mc:Choice>
  </mc:AlternateContent>
  <xr:revisionPtr revIDLastSave="0" documentId="8_{409CEEE9-159E-4525-A788-AB2FFDDC76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누적기여도" sheetId="13" r:id="rId1"/>
    <sheet name="S1~S10 YXL_기여도" sheetId="2" r:id="rId2"/>
    <sheet name="YXL_시즌1_기여도" sheetId="3" r:id="rId3"/>
    <sheet name="YXL_시즌2_기여도표" sheetId="4" r:id="rId4"/>
    <sheet name="YXL_시즌3_기여도표" sheetId="5" r:id="rId5"/>
    <sheet name="YXL_시즌4_기여도표" sheetId="6" r:id="rId6"/>
    <sheet name="YXL_시즌5_기여도표" sheetId="7" r:id="rId7"/>
    <sheet name="YXL_시즌6_기여도표" sheetId="8" r:id="rId8"/>
    <sheet name="YXL_시즌7_누적기여도" sheetId="9" r:id="rId9"/>
    <sheet name="YXL_시즌8_누적기여도" sheetId="10" r:id="rId10"/>
    <sheet name="YXL_시즌9_누적기여도" sheetId="11" r:id="rId11"/>
    <sheet name="YXL_시즌10_누적기여도" sheetId="12" r:id="rId12"/>
  </sheets>
  <definedNames>
    <definedName name="_xlnm._FilterDatabase" localSheetId="1" hidden="1">'S1~S10 YXL_기여도'!$A$1:$K$191</definedName>
    <definedName name="_xlnm._FilterDatabase" localSheetId="9" hidden="1">YXL_시즌8_누적기여도!$A$1:$J$23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8" l="1"/>
  <c r="J4" i="8"/>
  <c r="J7" i="8"/>
  <c r="J5" i="8"/>
  <c r="J6" i="8"/>
  <c r="J8" i="8"/>
  <c r="J9" i="8"/>
  <c r="J13" i="8"/>
  <c r="J10" i="8"/>
  <c r="J12" i="8"/>
  <c r="J11" i="8"/>
  <c r="J17" i="8"/>
  <c r="J15" i="8"/>
  <c r="J20" i="8"/>
  <c r="J14" i="8"/>
  <c r="J16" i="8"/>
  <c r="J18" i="8"/>
  <c r="J19" i="8"/>
  <c r="J2" i="8"/>
  <c r="J4" i="3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2" i="4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" i="5"/>
  <c r="J3" i="6"/>
  <c r="J4" i="6"/>
  <c r="J5" i="6"/>
  <c r="J6" i="6"/>
  <c r="J7" i="6"/>
  <c r="J8" i="6"/>
  <c r="J9" i="6"/>
  <c r="J10" i="6"/>
  <c r="J11" i="6"/>
  <c r="J12" i="6"/>
  <c r="J13" i="6"/>
  <c r="J14" i="6"/>
  <c r="J15" i="6"/>
  <c r="J2" i="6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2" i="7"/>
  <c r="J22" i="10"/>
  <c r="J21" i="10"/>
  <c r="J23" i="10"/>
  <c r="J18" i="10"/>
  <c r="J16" i="10"/>
  <c r="J19" i="10"/>
  <c r="J14" i="10"/>
  <c r="J20" i="10"/>
  <c r="J15" i="10"/>
  <c r="J17" i="10"/>
  <c r="J11" i="10"/>
  <c r="J10" i="10"/>
  <c r="J9" i="10"/>
  <c r="J13" i="10"/>
  <c r="J8" i="10"/>
  <c r="J5" i="10"/>
  <c r="J12" i="10"/>
  <c r="J7" i="10"/>
  <c r="J4" i="10"/>
  <c r="J6" i="10"/>
  <c r="J3" i="10"/>
  <c r="J2" i="10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J2" i="9"/>
  <c r="J24" i="9"/>
  <c r="E24" i="9"/>
  <c r="I24" i="9"/>
  <c r="D24" i="9"/>
  <c r="H24" i="9"/>
  <c r="G24" i="9"/>
  <c r="F24" i="9"/>
</calcChain>
</file>

<file path=xl/sharedStrings.xml><?xml version="1.0" encoding="utf-8"?>
<sst xmlns="http://schemas.openxmlformats.org/spreadsheetml/2006/main" count="1186" uniqueCount="164">
  <si>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</si>
  <si>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</si>
  <si>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</si>
  <si>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</si>
  <si>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</si>
  <si>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</si>
  <si>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</si>
  <si>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</si>
  <si>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</si>
  <si>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</si>
  <si>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시즌</t>
  </si>
  <si>
    <t>순위</t>
  </si>
  <si>
    <t>직급</t>
  </si>
  <si>
    <t>스트리머</t>
  </si>
  <si>
    <t>직급전</t>
  </si>
  <si>
    <t>1회차</t>
  </si>
  <si>
    <t>2회차</t>
  </si>
  <si>
    <t>3회차</t>
  </si>
  <si>
    <t>4회차</t>
  </si>
  <si>
    <t>5회차</t>
  </si>
  <si>
    <t>합산기여도</t>
  </si>
  <si>
    <t>부장</t>
  </si>
  <si>
    <t>류시아</t>
  </si>
  <si>
    <t>차장</t>
  </si>
  <si>
    <t>낭니</t>
  </si>
  <si>
    <t>신입</t>
  </si>
  <si>
    <t>채영</t>
  </si>
  <si>
    <t>비서실장</t>
  </si>
  <si>
    <t>후잉</t>
  </si>
  <si>
    <t>주임</t>
  </si>
  <si>
    <t>지연e</t>
  </si>
  <si>
    <t>과장</t>
  </si>
  <si>
    <t>윤수</t>
  </si>
  <si>
    <t>선임사원</t>
  </si>
  <si>
    <t>이슬이</t>
  </si>
  <si>
    <t>대리</t>
  </si>
  <si>
    <t>소다</t>
  </si>
  <si>
    <t>인턴장</t>
  </si>
  <si>
    <t>민트</t>
  </si>
  <si>
    <t>인턴</t>
  </si>
  <si>
    <t>라빈</t>
  </si>
  <si>
    <t>사원</t>
  </si>
  <si>
    <t>가비</t>
  </si>
  <si>
    <t>번데기</t>
  </si>
  <si>
    <t>아리샤</t>
  </si>
  <si>
    <t>번데기장</t>
  </si>
  <si>
    <t>성은</t>
  </si>
  <si>
    <t>윤하랑</t>
  </si>
  <si>
    <t>유누</t>
  </si>
  <si>
    <t>아망뚜</t>
  </si>
  <si>
    <t>팀장</t>
  </si>
  <si>
    <t>차돈</t>
  </si>
  <si>
    <t>섭이</t>
  </si>
  <si>
    <t>퇴출</t>
  </si>
  <si>
    <t>체험인턴</t>
  </si>
  <si>
    <t>설이</t>
  </si>
  <si>
    <t>리아</t>
  </si>
  <si>
    <t>번데기(시급)</t>
  </si>
  <si>
    <t>대표</t>
  </si>
  <si>
    <t>염보성</t>
  </si>
  <si>
    <t>시급</t>
  </si>
  <si>
    <t>윤주아</t>
  </si>
  <si>
    <t>박하악</t>
  </si>
  <si>
    <t>웨이터</t>
  </si>
  <si>
    <t>고도준</t>
  </si>
  <si>
    <t>박성진</t>
  </si>
  <si>
    <t>게스트</t>
  </si>
  <si>
    <t>하랑e</t>
  </si>
  <si>
    <t>한유이</t>
  </si>
  <si>
    <t>파이</t>
  </si>
  <si>
    <t>복직자</t>
  </si>
  <si>
    <t>나령</t>
  </si>
  <si>
    <t>시급(5만원)</t>
  </si>
  <si>
    <t>이예또</t>
  </si>
  <si>
    <t>유이린</t>
  </si>
  <si>
    <t>시급(7만원)</t>
  </si>
  <si>
    <t>시급(6만원)</t>
  </si>
  <si>
    <t>타니</t>
  </si>
  <si>
    <t>루루</t>
  </si>
  <si>
    <t>버러지</t>
  </si>
  <si>
    <t>도맑음</t>
  </si>
  <si>
    <t>이사</t>
  </si>
  <si>
    <t>지유</t>
  </si>
  <si>
    <t>은우</t>
  </si>
  <si>
    <t>인턴장 2.5%</t>
  </si>
  <si>
    <t>리윤</t>
  </si>
  <si>
    <t>선희</t>
  </si>
  <si>
    <t>웨아터</t>
  </si>
  <si>
    <t>서니</t>
  </si>
  <si>
    <t>쩔밍</t>
  </si>
  <si>
    <t>애벌레</t>
  </si>
  <si>
    <t>강소지</t>
  </si>
  <si>
    <t>블라인드퇴출</t>
  </si>
  <si>
    <t>김유정</t>
  </si>
  <si>
    <t>YB</t>
  </si>
  <si>
    <t>지두두</t>
  </si>
  <si>
    <t>으냉이</t>
  </si>
  <si>
    <t>빵지니</t>
  </si>
  <si>
    <t>꺼니</t>
  </si>
  <si>
    <t>김푸</t>
  </si>
  <si>
    <t>총장대행</t>
  </si>
  <si>
    <t>오메킴</t>
  </si>
  <si>
    <t>참가자</t>
  </si>
  <si>
    <t>지학호</t>
  </si>
  <si>
    <t>승나무</t>
  </si>
  <si>
    <t>하랑짱</t>
  </si>
  <si>
    <t>윤아현</t>
  </si>
  <si>
    <t>율무</t>
  </si>
  <si>
    <t>채리나</t>
  </si>
  <si>
    <t>김도준</t>
  </si>
  <si>
    <t>하쥬빈</t>
  </si>
  <si>
    <t>직급전(11.5)</t>
  </si>
  <si>
    <t>1회차(11.11)</t>
  </si>
  <si>
    <t>2회차(11.17)</t>
  </si>
  <si>
    <t>3회차(11.21)</t>
  </si>
  <si>
    <t>4회차(11.26)</t>
  </si>
  <si>
    <t>5회차(11.28)</t>
  </si>
  <si>
    <t>지연</t>
  </si>
  <si>
    <t>이름</t>
  </si>
  <si>
    <t>누적 기여도 점수</t>
  </si>
  <si>
    <t>변동</t>
  </si>
  <si>
    <t>근속일수</t>
  </si>
  <si>
    <t>-</t>
  </si>
  <si>
    <t>D+440일</t>
  </si>
  <si>
    <t>113일, 159일</t>
  </si>
  <si>
    <t>212일</t>
  </si>
  <si>
    <t>194일</t>
  </si>
  <si>
    <t>241일</t>
  </si>
  <si>
    <t>217일</t>
  </si>
  <si>
    <t>175일</t>
  </si>
  <si>
    <t>77일, 111일</t>
  </si>
  <si>
    <t>110일</t>
  </si>
  <si>
    <t>D+423일</t>
  </si>
  <si>
    <t>280일</t>
  </si>
  <si>
    <t>101일</t>
  </si>
  <si>
    <t>151일</t>
  </si>
  <si>
    <t>D+180일</t>
  </si>
  <si>
    <t>128일</t>
  </si>
  <si>
    <t>D+192일</t>
  </si>
  <si>
    <t>D+167일</t>
  </si>
  <si>
    <t>+1 ▲</t>
  </si>
  <si>
    <t>D+113일</t>
  </si>
  <si>
    <t>-1 ▼</t>
  </si>
  <si>
    <t>105일</t>
  </si>
  <si>
    <t>42일</t>
  </si>
  <si>
    <t>D+138일</t>
  </si>
  <si>
    <t>73일</t>
  </si>
  <si>
    <t>D+75일</t>
  </si>
  <si>
    <t>28일</t>
  </si>
  <si>
    <t>70일</t>
  </si>
  <si>
    <t>57일, 30일</t>
  </si>
  <si>
    <t>+4 ▲</t>
  </si>
  <si>
    <t>D+68일</t>
  </si>
  <si>
    <t>62일</t>
  </si>
  <si>
    <t>24일</t>
  </si>
  <si>
    <t>50일</t>
  </si>
  <si>
    <t>43일</t>
  </si>
  <si>
    <t>52일</t>
  </si>
  <si>
    <t>34일</t>
  </si>
  <si>
    <t>유나연</t>
  </si>
  <si>
    <t>진입</t>
  </si>
  <si>
    <t>D+15일</t>
  </si>
  <si>
    <t>나래</t>
  </si>
  <si>
    <t>17일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</si>
</sst>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맑은 고딕"/>
      <family val="3"/>
    </font>
    <font>
      <sz val="11"/>
      <color theme="1"/>
      <name val="Calibri"/>
      <family val="2"/>
      <scheme val="minor"/>
    </font>
    <font>
      <b/>
      <sz val="11"/>
      <name val="맑은 고딕"/>
      <family val="3"/>
    </font>
    <font>
      <sz val="8"/>
      <name val="Calibri"/>
      <family val="3"/>
      <charset val="129"/>
      <scheme val="minor"/>
    </font>
    <font>
      <b/>
      <sz val="11"/>
      <color rgb="FF000000"/>
      <name val="Noto Sans KR"/>
      <family val="3"/>
      <charset val="129"/>
    </font>
    <font>
      <b/>
      <sz val="11"/>
      <color rgb="FFFF0000"/>
      <name val="Noto Sans KR"/>
      <family val="3"/>
      <charset val="129"/>
    </font>
    <font>
      <b/>
      <sz val="11"/>
      <color rgb="FF0100FF"/>
      <name val="Noto Sans KR"/>
      <family val="3"/>
      <charset val="129"/>
    </font>
    <font>
      <b/>
      <sz val="11"/>
      <color rgb="FFFFFFFF"/>
      <name val="Noto Sans KR"/>
      <family val="3"/>
      <charset val="129"/>
    </font>
    <font>
      <sz val="11"/>
      <color rgb="FF000000"/>
      <name val="Noto Sans KR"/>
      <family val="3"/>
      <charset val="129"/>
    </font>
    <font>
      <b/>
      <sz val="11"/>
      <color rgb="FF1266FF"/>
      <name val="Noto Sans KR"/>
      <family val="3"/>
      <charset val="129"/>
    </font>
    <font>
      <b/>
      <sz val="9.15"/>
      <color rgb="FF1266FF"/>
      <name val="Noto Sans KR"/>
      <family val="3"/>
      <charset val="129"/>
    </font>
    <font>
      <sz val="9.15"/>
      <color rgb="FF000000"/>
      <name val="Noto Sans KR"/>
      <family val="3"/>
      <charset val="129"/>
    </font>
    <font>
      <b/>
      <sz val="11"/>
      <color rgb="FF1DDB16"/>
      <name val="Noto Sans K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7E57C2"/>
      </patternFill>
    </fill>
    <fill>
      <patternFill patternType="solid">
        <fgColor rgb="FFA566FF"/>
      </patternFill>
    </fill>
    <fill>
      <patternFill patternType="solid">
        <fgColor rgb="FF6F42C1"/>
      </patternFill>
    </fill>
    <fill>
      <patternFill patternType="solid">
        <fgColor rgb="FF2F5597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9966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566FF"/>
        <bgColor indexed="64"/>
      </patternFill>
    </fill>
  </fills>
  <borders count="1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ck">
        <color rgb="FFA566FF"/>
      </left>
      <right style="medium">
        <color rgb="FF383B40"/>
      </right>
      <top style="thick">
        <color rgb="FFA566FF"/>
      </top>
      <bottom style="medium">
        <color rgb="FF383B40"/>
      </bottom>
      <diagonal/>
    </border>
    <border>
      <left style="medium">
        <color rgb="FF383B40"/>
      </left>
      <right style="medium">
        <color rgb="FF383B40"/>
      </right>
      <top style="thick">
        <color rgb="FFA566FF"/>
      </top>
      <bottom style="medium">
        <color rgb="FF383B40"/>
      </bottom>
      <diagonal/>
    </border>
    <border>
      <left style="medium">
        <color rgb="FF383B40"/>
      </left>
      <right style="thick">
        <color rgb="FFA566FF"/>
      </right>
      <top style="thick">
        <color rgb="FFA566FF"/>
      </top>
      <bottom style="medium">
        <color rgb="FF383B40"/>
      </bottom>
      <diagonal/>
    </border>
    <border>
      <left style="thick">
        <color rgb="FFA566FF"/>
      </left>
      <right style="medium">
        <color rgb="FF383B40"/>
      </right>
      <top style="medium">
        <color rgb="FF383B40"/>
      </top>
      <bottom style="medium">
        <color rgb="FF383B40"/>
      </bottom>
      <diagonal/>
    </border>
    <border>
      <left style="medium">
        <color rgb="FF383B40"/>
      </left>
      <right style="medium">
        <color rgb="FF383B40"/>
      </right>
      <top style="medium">
        <color rgb="FF383B40"/>
      </top>
      <bottom style="medium">
        <color rgb="FF383B40"/>
      </bottom>
      <diagonal/>
    </border>
    <border>
      <left style="medium">
        <color rgb="FF383B40"/>
      </left>
      <right style="thick">
        <color rgb="FFA566FF"/>
      </right>
      <top style="medium">
        <color rgb="FF383B40"/>
      </top>
      <bottom style="medium">
        <color rgb="FF383B40"/>
      </bottom>
      <diagonal/>
    </border>
    <border>
      <left style="thick">
        <color rgb="FFA566FF"/>
      </left>
      <right style="medium">
        <color rgb="FF383B40"/>
      </right>
      <top style="medium">
        <color rgb="FF383B40"/>
      </top>
      <bottom style="thick">
        <color rgb="FFA566FF"/>
      </bottom>
      <diagonal/>
    </border>
    <border>
      <left style="medium">
        <color rgb="FF383B40"/>
      </left>
      <right style="medium">
        <color rgb="FF383B40"/>
      </right>
      <top style="medium">
        <color rgb="FF383B40"/>
      </top>
      <bottom style="thick">
        <color rgb="FFA566FF"/>
      </bottom>
      <diagonal/>
    </border>
    <border>
      <left style="medium">
        <color rgb="FF383B40"/>
      </left>
      <right style="thick">
        <color rgb="FFA566FF"/>
      </right>
      <top style="medium">
        <color rgb="FF383B40"/>
      </top>
      <bottom style="thick">
        <color rgb="FFA566FF"/>
      </bottom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1" fontId="0" fillId="0" borderId="0" xfId="1" applyNumberFormat="1" applyFont="1"/>
    <xf numFmtId="3" fontId="0" fillId="0" borderId="0" xfId="1" applyNumberFormat="1" applyFont="1"/>
    <xf numFmtId="0" fontId="2" fillId="3" borderId="1" xfId="1" applyFont="1" applyFill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left" vertical="center"/>
    </xf>
    <xf numFmtId="3" fontId="3" fillId="0" borderId="1" xfId="1" applyNumberFormat="1" applyBorder="1" applyAlignment="1">
      <alignment horizontal="right" vertical="center"/>
    </xf>
    <xf numFmtId="0" fontId="2" fillId="4" borderId="2" xfId="1" applyFont="1" applyFill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3" fontId="3" fillId="0" borderId="2" xfId="1" applyNumberFormat="1" applyBorder="1" applyAlignment="1">
      <alignment horizontal="right" vertical="center"/>
    </xf>
    <xf numFmtId="3" fontId="4" fillId="0" borderId="2" xfId="1" applyNumberFormat="1" applyFont="1" applyBorder="1" applyAlignment="1">
      <alignment horizontal="right" vertical="center"/>
    </xf>
    <xf numFmtId="0" fontId="2" fillId="5" borderId="2" xfId="1" applyFont="1" applyFill="1" applyBorder="1" applyAlignment="1">
      <alignment horizontal="center" vertical="center"/>
    </xf>
    <xf numFmtId="0" fontId="3" fillId="0" borderId="2" xfId="1" applyBorder="1" applyAlignment="1">
      <alignment horizontal="left" vertical="center"/>
    </xf>
    <xf numFmtId="0" fontId="2" fillId="6" borderId="0" xfId="1" applyFont="1" applyFill="1" applyAlignment="1">
      <alignment horizontal="center" vertical="center"/>
    </xf>
    <xf numFmtId="0" fontId="3" fillId="0" borderId="0" xfId="1" applyAlignment="1">
      <alignment horizontal="center"/>
    </xf>
    <xf numFmtId="3" fontId="3" fillId="0" borderId="0" xfId="1" applyNumberFormat="1" applyAlignment="1">
      <alignment horizontal="right"/>
    </xf>
    <xf numFmtId="176" fontId="2" fillId="4" borderId="2" xfId="1" applyNumberFormat="1" applyFont="1" applyFill="1" applyBorder="1" applyAlignment="1">
      <alignment horizontal="center" vertical="center"/>
    </xf>
    <xf numFmtId="176" fontId="3" fillId="0" borderId="2" xfId="1" applyNumberFormat="1" applyBorder="1" applyAlignment="1">
      <alignment horizontal="right" vertical="center"/>
    </xf>
    <xf numFmtId="176" fontId="0" fillId="0" borderId="0" xfId="0" applyNumberFormat="1"/>
    <xf numFmtId="0" fontId="4" fillId="0" borderId="2" xfId="1" applyFont="1" applyBorder="1" applyAlignment="1">
      <alignment horizontal="center" vertical="center"/>
    </xf>
    <xf numFmtId="0" fontId="0" fillId="0" borderId="3" xfId="1" applyFont="1" applyBorder="1"/>
    <xf numFmtId="0" fontId="0" fillId="0" borderId="4" xfId="1" applyFont="1" applyBorder="1"/>
    <xf numFmtId="0" fontId="11" fillId="7" borderId="9" xfId="0" applyFont="1" applyFill="1" applyBorder="1" applyAlignment="1">
      <alignment horizontal="center" vertical="center" wrapText="1"/>
    </xf>
    <xf numFmtId="3" fontId="11" fillId="7" borderId="9" xfId="0" applyNumberFormat="1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10" fillId="8" borderId="9" xfId="0" applyFont="1" applyFill="1" applyBorder="1" applyAlignment="1">
      <alignment horizontal="center" vertical="center" wrapText="1"/>
    </xf>
    <xf numFmtId="3" fontId="10" fillId="8" borderId="9" xfId="0" applyNumberFormat="1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10" fillId="9" borderId="9" xfId="0" applyFont="1" applyFill="1" applyBorder="1" applyAlignment="1">
      <alignment horizontal="center" vertical="center" wrapText="1"/>
    </xf>
    <xf numFmtId="3" fontId="10" fillId="9" borderId="9" xfId="0" applyNumberFormat="1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10" fillId="11" borderId="9" xfId="0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 vertical="center" wrapText="1"/>
    </xf>
    <xf numFmtId="3" fontId="11" fillId="11" borderId="9" xfId="0" applyNumberFormat="1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 wrapText="1"/>
    </xf>
    <xf numFmtId="0" fontId="14" fillId="11" borderId="9" xfId="0" applyFont="1" applyFill="1" applyBorder="1" applyAlignment="1">
      <alignment horizontal="center" vertical="center" wrapText="1"/>
    </xf>
    <xf numFmtId="0" fontId="9" fillId="12" borderId="5" xfId="0" applyFont="1" applyFill="1" applyBorder="1" applyAlignment="1">
      <alignment horizontal="center" vertical="center" wrapText="1"/>
    </xf>
    <xf numFmtId="0" fontId="9" fillId="12" borderId="6" xfId="0" applyFont="1" applyFill="1" applyBorder="1" applyAlignment="1">
      <alignment horizontal="center" vertical="center" wrapText="1"/>
    </xf>
    <xf numFmtId="0" fontId="9" fillId="12" borderId="7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/>
    </xf>
    <xf numFmtId="0" fontId="10" fillId="8" borderId="8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13" fillId="11" borderId="10" xfId="0" applyFont="1" applyFill="1" applyBorder="1" applyAlignment="1">
      <alignment horizontal="center" vertical="center" wrapText="1"/>
    </xf>
    <xf numFmtId="0" fontId="12" fillId="11" borderId="10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1" borderId="12" xfId="0" applyFont="1" applyFill="1" applyBorder="1" applyAlignment="1">
      <alignment horizontal="center" vertical="center" wrapText="1"/>
    </xf>
    <xf numFmtId="3" fontId="10" fillId="11" borderId="12" xfId="0" applyNumberFormat="1" applyFont="1" applyFill="1" applyBorder="1" applyAlignment="1">
      <alignment horizontal="center" vertical="center" wrapText="1"/>
    </xf>
    <xf numFmtId="0" fontId="8" fillId="11" borderId="12" xfId="0" applyFont="1" applyFill="1" applyBorder="1" applyAlignment="1">
      <alignment horizontal="center" vertical="center" wrapText="1"/>
    </xf>
    <xf numFmtId="0" fontId="13" fillId="11" borderId="13" xfId="0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ALL" displayName="T_ALL" ref="A1:K191">
  <autoFilter ref="A1:K191" xr:uid="{00000000-0009-0000-0100-000001000000}"/>
  <sortState xmlns:xlrd2="http://schemas.microsoft.com/office/spreadsheetml/2017/richdata2" ref="A2:K191">
    <sortCondition descending="1" ref="K1:K191"/>
  </sortState>
  <tableColumns count="11">
    <tableColumn id="1" xr3:uid="{00000000-0010-0000-0000-000001000000}" name="시즌"/>
    <tableColumn id="2" xr3:uid="{00000000-0010-0000-0000-000002000000}" name="순위"/>
    <tableColumn id="3" xr3:uid="{00000000-0010-0000-0000-000003000000}" name="직급"/>
    <tableColumn id="4" xr3:uid="{00000000-0010-0000-0000-000004000000}" name="스트리머"/>
    <tableColumn id="5" xr3:uid="{00000000-0010-0000-0000-000005000000}" name="직급전"/>
    <tableColumn id="6" xr3:uid="{00000000-0010-0000-0000-000006000000}" name="1회차"/>
    <tableColumn id="7" xr3:uid="{00000000-0010-0000-0000-000007000000}" name="2회차"/>
    <tableColumn id="8" xr3:uid="{00000000-0010-0000-0000-000008000000}" name="3회차"/>
    <tableColumn id="9" xr3:uid="{00000000-0010-0000-0000-000009000000}" name="4회차"/>
    <tableColumn id="10" xr3:uid="{00000000-0010-0000-0000-00000A000000}" name="5회차"/>
    <tableColumn id="11" xr3:uid="{00000000-0010-0000-0000-00000B000000}" name="합산기여도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C00E-3B9B-459B-8729-C0CC0C944FC6}">
  <dimension ref="A1:E42"/>
  <sheetViews>
    <sheetView tabSelected="1" workbookViewId="0">
      <selection activeCell="G7" sqref="G7"/>
    </sheetView>
  </sheetViews>
  <sheetFormatPr defaultRowHeight="15" x14ac:dyDescent="0.25"/>
  <cols>
    <col min="3" max="3" width="15.7109375" customWidth="1"/>
    <col min="4" max="4" width="10.28515625" customWidth="1"/>
  </cols>
  <sheetData>
    <row r="1" spans="1:5" ht="37.5" thickTop="1" thickBot="1" x14ac:dyDescent="0.3">
      <c r="A1" s="40" t="s">
        <v>11</v>
      </c>
      <c r="B1" s="41" t="s">
        <v>118</v>
      </c>
      <c r="C1" s="41" t="s">
        <v>119</v>
      </c>
      <c r="D1" s="41" t="s">
        <v>120</v>
      </c>
      <c r="E1" s="42" t="s">
        <v>121</v>
      </c>
    </row>
    <row r="2" spans="1:5" ht="18.75" thickBot="1" x14ac:dyDescent="0.3">
      <c r="A2" s="43"/>
      <c r="B2" s="23" t="s">
        <v>28</v>
      </c>
      <c r="C2" s="24">
        <v>19091416</v>
      </c>
      <c r="D2" s="25" t="s">
        <v>122</v>
      </c>
      <c r="E2" s="44" t="s">
        <v>123</v>
      </c>
    </row>
    <row r="3" spans="1:5" ht="30.75" thickBot="1" x14ac:dyDescent="0.3">
      <c r="A3" s="45"/>
      <c r="B3" s="26" t="s">
        <v>24</v>
      </c>
      <c r="C3" s="27">
        <v>15427501</v>
      </c>
      <c r="D3" s="28" t="s">
        <v>122</v>
      </c>
      <c r="E3" s="46" t="s">
        <v>124</v>
      </c>
    </row>
    <row r="4" spans="1:5" ht="18.75" thickBot="1" x14ac:dyDescent="0.3">
      <c r="A4" s="47"/>
      <c r="B4" s="29" t="s">
        <v>48</v>
      </c>
      <c r="C4" s="30">
        <v>14847704</v>
      </c>
      <c r="D4" s="31" t="s">
        <v>122</v>
      </c>
      <c r="E4" s="48" t="s">
        <v>125</v>
      </c>
    </row>
    <row r="5" spans="1:5" ht="18.75" thickBot="1" x14ac:dyDescent="0.3">
      <c r="A5" s="49">
        <v>4</v>
      </c>
      <c r="B5" s="32" t="s">
        <v>56</v>
      </c>
      <c r="C5" s="33">
        <v>14768277</v>
      </c>
      <c r="D5" s="34" t="s">
        <v>122</v>
      </c>
      <c r="E5" s="50" t="s">
        <v>126</v>
      </c>
    </row>
    <row r="6" spans="1:5" ht="18.75" thickBot="1" x14ac:dyDescent="0.3">
      <c r="A6" s="49">
        <v>5</v>
      </c>
      <c r="B6" s="32" t="s">
        <v>34</v>
      </c>
      <c r="C6" s="33">
        <v>14034989</v>
      </c>
      <c r="D6" s="34" t="s">
        <v>122</v>
      </c>
      <c r="E6" s="50" t="s">
        <v>127</v>
      </c>
    </row>
    <row r="7" spans="1:5" ht="18.75" thickBot="1" x14ac:dyDescent="0.3">
      <c r="A7" s="49">
        <v>6</v>
      </c>
      <c r="B7" s="32" t="s">
        <v>47</v>
      </c>
      <c r="C7" s="33">
        <v>12942724</v>
      </c>
      <c r="D7" s="34" t="s">
        <v>122</v>
      </c>
      <c r="E7" s="50" t="s">
        <v>128</v>
      </c>
    </row>
    <row r="8" spans="1:5" ht="18.75" thickBot="1" x14ac:dyDescent="0.3">
      <c r="A8" s="49">
        <v>7</v>
      </c>
      <c r="B8" s="32" t="s">
        <v>83</v>
      </c>
      <c r="C8" s="33">
        <v>12185151</v>
      </c>
      <c r="D8" s="34" t="s">
        <v>122</v>
      </c>
      <c r="E8" s="50" t="s">
        <v>129</v>
      </c>
    </row>
    <row r="9" spans="1:5" ht="30.75" thickBot="1" x14ac:dyDescent="0.3">
      <c r="A9" s="49">
        <v>8</v>
      </c>
      <c r="B9" s="32" t="s">
        <v>26</v>
      </c>
      <c r="C9" s="33">
        <v>11512806</v>
      </c>
      <c r="D9" s="34" t="s">
        <v>122</v>
      </c>
      <c r="E9" s="50" t="s">
        <v>130</v>
      </c>
    </row>
    <row r="10" spans="1:5" ht="18.75" thickBot="1" x14ac:dyDescent="0.3">
      <c r="A10" s="49">
        <v>9</v>
      </c>
      <c r="B10" s="32" t="s">
        <v>22</v>
      </c>
      <c r="C10" s="33">
        <v>11456411</v>
      </c>
      <c r="D10" s="34" t="s">
        <v>122</v>
      </c>
      <c r="E10" s="50" t="s">
        <v>131</v>
      </c>
    </row>
    <row r="11" spans="1:5" ht="18.75" thickBot="1" x14ac:dyDescent="0.3">
      <c r="A11" s="49">
        <v>10</v>
      </c>
      <c r="B11" s="35" t="s">
        <v>36</v>
      </c>
      <c r="C11" s="36">
        <v>8693716</v>
      </c>
      <c r="D11" s="34" t="s">
        <v>122</v>
      </c>
      <c r="E11" s="51" t="s">
        <v>132</v>
      </c>
    </row>
    <row r="12" spans="1:5" ht="18.75" thickBot="1" x14ac:dyDescent="0.3">
      <c r="A12" s="49">
        <v>11</v>
      </c>
      <c r="B12" s="32" t="s">
        <v>42</v>
      </c>
      <c r="C12" s="33">
        <v>7915239</v>
      </c>
      <c r="D12" s="34" t="s">
        <v>122</v>
      </c>
      <c r="E12" s="50" t="s">
        <v>133</v>
      </c>
    </row>
    <row r="13" spans="1:5" ht="18.75" thickBot="1" x14ac:dyDescent="0.3">
      <c r="A13" s="49">
        <v>12</v>
      </c>
      <c r="B13" s="32" t="s">
        <v>82</v>
      </c>
      <c r="C13" s="33">
        <v>7838874</v>
      </c>
      <c r="D13" s="34" t="s">
        <v>122</v>
      </c>
      <c r="E13" s="50" t="s">
        <v>126</v>
      </c>
    </row>
    <row r="14" spans="1:5" ht="18.75" thickBot="1" x14ac:dyDescent="0.3">
      <c r="A14" s="49">
        <v>13</v>
      </c>
      <c r="B14" s="32" t="s">
        <v>78</v>
      </c>
      <c r="C14" s="33">
        <v>6454586</v>
      </c>
      <c r="D14" s="34" t="s">
        <v>122</v>
      </c>
      <c r="E14" s="50" t="s">
        <v>134</v>
      </c>
    </row>
    <row r="15" spans="1:5" ht="18.75" thickBot="1" x14ac:dyDescent="0.3">
      <c r="A15" s="49">
        <v>14</v>
      </c>
      <c r="B15" s="32" t="s">
        <v>77</v>
      </c>
      <c r="C15" s="33">
        <v>6364013</v>
      </c>
      <c r="D15" s="34" t="s">
        <v>122</v>
      </c>
      <c r="E15" s="50" t="s">
        <v>135</v>
      </c>
    </row>
    <row r="16" spans="1:5" ht="18.75" thickBot="1" x14ac:dyDescent="0.3">
      <c r="A16" s="49">
        <v>15</v>
      </c>
      <c r="B16" s="35" t="s">
        <v>85</v>
      </c>
      <c r="C16" s="36">
        <v>6049955</v>
      </c>
      <c r="D16" s="34" t="s">
        <v>122</v>
      </c>
      <c r="E16" s="51" t="s">
        <v>136</v>
      </c>
    </row>
    <row r="17" spans="1:5" ht="18.75" thickBot="1" x14ac:dyDescent="0.3">
      <c r="A17" s="49">
        <v>16</v>
      </c>
      <c r="B17" s="32" t="s">
        <v>117</v>
      </c>
      <c r="C17" s="33">
        <v>4562135</v>
      </c>
      <c r="D17" s="34" t="s">
        <v>122</v>
      </c>
      <c r="E17" s="50" t="s">
        <v>137</v>
      </c>
    </row>
    <row r="18" spans="1:5" ht="18.75" thickBot="1" x14ac:dyDescent="0.3">
      <c r="A18" s="49">
        <v>17</v>
      </c>
      <c r="B18" s="35" t="s">
        <v>88</v>
      </c>
      <c r="C18" s="36">
        <v>3101895</v>
      </c>
      <c r="D18" s="34" t="s">
        <v>122</v>
      </c>
      <c r="E18" s="51" t="s">
        <v>138</v>
      </c>
    </row>
    <row r="19" spans="1:5" ht="18.75" thickBot="1" x14ac:dyDescent="0.3">
      <c r="A19" s="49">
        <v>18</v>
      </c>
      <c r="B19" s="35" t="s">
        <v>89</v>
      </c>
      <c r="C19" s="36">
        <v>2947177</v>
      </c>
      <c r="D19" s="34" t="s">
        <v>122</v>
      </c>
      <c r="E19" s="51" t="s">
        <v>139</v>
      </c>
    </row>
    <row r="20" spans="1:5" ht="18.75" thickBot="1" x14ac:dyDescent="0.3">
      <c r="A20" s="49">
        <v>19</v>
      </c>
      <c r="B20" s="32" t="s">
        <v>40</v>
      </c>
      <c r="C20" s="33">
        <v>2502755</v>
      </c>
      <c r="D20" s="34" t="s">
        <v>122</v>
      </c>
      <c r="E20" s="50" t="s">
        <v>131</v>
      </c>
    </row>
    <row r="21" spans="1:5" ht="18.75" thickBot="1" x14ac:dyDescent="0.3">
      <c r="A21" s="49">
        <v>20</v>
      </c>
      <c r="B21" s="35" t="s">
        <v>93</v>
      </c>
      <c r="C21" s="36">
        <v>2363444</v>
      </c>
      <c r="D21" s="37" t="s">
        <v>140</v>
      </c>
      <c r="E21" s="51" t="s">
        <v>141</v>
      </c>
    </row>
    <row r="22" spans="1:5" ht="18.75" thickBot="1" x14ac:dyDescent="0.3">
      <c r="A22" s="49">
        <v>21</v>
      </c>
      <c r="B22" s="32" t="s">
        <v>38</v>
      </c>
      <c r="C22" s="33">
        <v>2329750</v>
      </c>
      <c r="D22" s="38" t="s">
        <v>142</v>
      </c>
      <c r="E22" s="50" t="s">
        <v>134</v>
      </c>
    </row>
    <row r="23" spans="1:5" ht="18.75" thickBot="1" x14ac:dyDescent="0.3">
      <c r="A23" s="49">
        <v>22</v>
      </c>
      <c r="B23" s="32" t="s">
        <v>74</v>
      </c>
      <c r="C23" s="33">
        <v>1830516</v>
      </c>
      <c r="D23" s="34" t="s">
        <v>122</v>
      </c>
      <c r="E23" s="50" t="s">
        <v>143</v>
      </c>
    </row>
    <row r="24" spans="1:5" ht="18.75" thickBot="1" x14ac:dyDescent="0.3">
      <c r="A24" s="49">
        <v>23</v>
      </c>
      <c r="B24" s="32" t="s">
        <v>32</v>
      </c>
      <c r="C24" s="33">
        <v>1648474</v>
      </c>
      <c r="D24" s="34" t="s">
        <v>122</v>
      </c>
      <c r="E24" s="50" t="s">
        <v>144</v>
      </c>
    </row>
    <row r="25" spans="1:5" ht="18.75" thickBot="1" x14ac:dyDescent="0.3">
      <c r="A25" s="49">
        <v>24</v>
      </c>
      <c r="B25" s="35" t="s">
        <v>91</v>
      </c>
      <c r="C25" s="36">
        <v>1572657</v>
      </c>
      <c r="D25" s="34" t="s">
        <v>122</v>
      </c>
      <c r="E25" s="51" t="s">
        <v>145</v>
      </c>
    </row>
    <row r="26" spans="1:5" ht="18.75" thickBot="1" x14ac:dyDescent="0.3">
      <c r="A26" s="49">
        <v>25</v>
      </c>
      <c r="B26" s="32" t="s">
        <v>80</v>
      </c>
      <c r="C26" s="33">
        <v>1400130</v>
      </c>
      <c r="D26" s="34" t="s">
        <v>122</v>
      </c>
      <c r="E26" s="50" t="s">
        <v>146</v>
      </c>
    </row>
    <row r="27" spans="1:5" ht="18.75" thickBot="1" x14ac:dyDescent="0.3">
      <c r="A27" s="49">
        <v>26</v>
      </c>
      <c r="B27" s="35" t="s">
        <v>105</v>
      </c>
      <c r="C27" s="36">
        <v>1261608</v>
      </c>
      <c r="D27" s="37" t="s">
        <v>140</v>
      </c>
      <c r="E27" s="51" t="s">
        <v>147</v>
      </c>
    </row>
    <row r="28" spans="1:5" ht="18.75" thickBot="1" x14ac:dyDescent="0.3">
      <c r="A28" s="49">
        <v>27</v>
      </c>
      <c r="B28" s="32" t="s">
        <v>49</v>
      </c>
      <c r="C28" s="33">
        <v>1045272</v>
      </c>
      <c r="D28" s="38" t="s">
        <v>142</v>
      </c>
      <c r="E28" s="50" t="s">
        <v>148</v>
      </c>
    </row>
    <row r="29" spans="1:5" ht="18.75" thickBot="1" x14ac:dyDescent="0.3">
      <c r="A29" s="49">
        <v>28</v>
      </c>
      <c r="B29" s="32" t="s">
        <v>68</v>
      </c>
      <c r="C29" s="33">
        <v>916333</v>
      </c>
      <c r="D29" s="34" t="s">
        <v>122</v>
      </c>
      <c r="E29" s="50" t="s">
        <v>149</v>
      </c>
    </row>
    <row r="30" spans="1:5" ht="18.75" thickBot="1" x14ac:dyDescent="0.3">
      <c r="A30" s="49">
        <v>29</v>
      </c>
      <c r="B30" s="32" t="s">
        <v>73</v>
      </c>
      <c r="C30" s="33">
        <v>691297</v>
      </c>
      <c r="D30" s="34" t="s">
        <v>122</v>
      </c>
      <c r="E30" s="50" t="s">
        <v>150</v>
      </c>
    </row>
    <row r="31" spans="1:5" ht="18.75" thickBot="1" x14ac:dyDescent="0.3">
      <c r="A31" s="49">
        <v>30</v>
      </c>
      <c r="B31" s="35" t="s">
        <v>107</v>
      </c>
      <c r="C31" s="36">
        <v>658302</v>
      </c>
      <c r="D31" s="37" t="s">
        <v>151</v>
      </c>
      <c r="E31" s="51" t="s">
        <v>152</v>
      </c>
    </row>
    <row r="32" spans="1:5" ht="18.75" thickBot="1" x14ac:dyDescent="0.3">
      <c r="A32" s="49">
        <v>31</v>
      </c>
      <c r="B32" s="32" t="s">
        <v>44</v>
      </c>
      <c r="C32" s="33">
        <v>609497</v>
      </c>
      <c r="D32" s="38" t="s">
        <v>142</v>
      </c>
      <c r="E32" s="50" t="s">
        <v>153</v>
      </c>
    </row>
    <row r="33" spans="1:5" ht="18.75" thickBot="1" x14ac:dyDescent="0.3">
      <c r="A33" s="49">
        <v>32</v>
      </c>
      <c r="B33" s="32" t="s">
        <v>71</v>
      </c>
      <c r="C33" s="33">
        <v>498141</v>
      </c>
      <c r="D33" s="38" t="s">
        <v>142</v>
      </c>
      <c r="E33" s="50" t="s">
        <v>154</v>
      </c>
    </row>
    <row r="34" spans="1:5" ht="18.75" thickBot="1" x14ac:dyDescent="0.3">
      <c r="A34" s="49">
        <v>33</v>
      </c>
      <c r="B34" s="32" t="s">
        <v>61</v>
      </c>
      <c r="C34" s="33">
        <v>447343</v>
      </c>
      <c r="D34" s="38" t="s">
        <v>142</v>
      </c>
      <c r="E34" s="50" t="s">
        <v>155</v>
      </c>
    </row>
    <row r="35" spans="1:5" ht="18.75" thickBot="1" x14ac:dyDescent="0.3">
      <c r="A35" s="49">
        <v>34</v>
      </c>
      <c r="B35" s="32" t="s">
        <v>106</v>
      </c>
      <c r="C35" s="33">
        <v>408299</v>
      </c>
      <c r="D35" s="38" t="s">
        <v>142</v>
      </c>
      <c r="E35" s="50" t="s">
        <v>144</v>
      </c>
    </row>
    <row r="36" spans="1:5" ht="18.75" thickBot="1" x14ac:dyDescent="0.3">
      <c r="A36" s="49">
        <v>35</v>
      </c>
      <c r="B36" s="32" t="s">
        <v>46</v>
      </c>
      <c r="C36" s="33">
        <v>258402</v>
      </c>
      <c r="D36" s="34" t="s">
        <v>122</v>
      </c>
      <c r="E36" s="50" t="s">
        <v>156</v>
      </c>
    </row>
    <row r="37" spans="1:5" ht="18.75" thickBot="1" x14ac:dyDescent="0.3">
      <c r="A37" s="49">
        <v>36</v>
      </c>
      <c r="B37" s="32" t="s">
        <v>69</v>
      </c>
      <c r="C37" s="33">
        <v>254051</v>
      </c>
      <c r="D37" s="34" t="s">
        <v>122</v>
      </c>
      <c r="E37" s="50" t="s">
        <v>157</v>
      </c>
    </row>
    <row r="38" spans="1:5" ht="18.75" thickBot="1" x14ac:dyDescent="0.3">
      <c r="A38" s="49">
        <v>37</v>
      </c>
      <c r="B38" s="32" t="s">
        <v>108</v>
      </c>
      <c r="C38" s="33">
        <v>191849</v>
      </c>
      <c r="D38" s="34" t="s">
        <v>122</v>
      </c>
      <c r="E38" s="50" t="s">
        <v>158</v>
      </c>
    </row>
    <row r="39" spans="1:5" ht="18.75" thickBot="1" x14ac:dyDescent="0.3">
      <c r="A39" s="49">
        <v>38</v>
      </c>
      <c r="B39" s="35" t="s">
        <v>159</v>
      </c>
      <c r="C39" s="36">
        <v>36115</v>
      </c>
      <c r="D39" s="39" t="s">
        <v>160</v>
      </c>
      <c r="E39" s="51" t="s">
        <v>161</v>
      </c>
    </row>
    <row r="40" spans="1:5" ht="18.75" thickBot="1" x14ac:dyDescent="0.3">
      <c r="A40" s="49">
        <v>39</v>
      </c>
      <c r="B40" s="35" t="s">
        <v>162</v>
      </c>
      <c r="C40" s="36">
        <v>17784</v>
      </c>
      <c r="D40" s="39" t="s">
        <v>160</v>
      </c>
      <c r="E40" s="51" t="s">
        <v>161</v>
      </c>
    </row>
    <row r="41" spans="1:5" ht="18.75" thickBot="1" x14ac:dyDescent="0.3">
      <c r="A41" s="52">
        <v>40</v>
      </c>
      <c r="B41" s="53" t="s">
        <v>110</v>
      </c>
      <c r="C41" s="54">
        <v>11813</v>
      </c>
      <c r="D41" s="55" t="s">
        <v>142</v>
      </c>
      <c r="E41" s="56" t="s">
        <v>163</v>
      </c>
    </row>
    <row r="42" spans="1:5" ht="15.75" thickTop="1" x14ac:dyDescent="0.25"/>
  </sheetData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1"/>
  <sheetViews>
    <sheetView workbookViewId="0">
      <selection activeCell="R9" sqref="R9"/>
    </sheetView>
  </sheetViews>
  <sheetFormatPr defaultRowHeight="15" x14ac:dyDescent="0.25"/>
  <cols>
    <col min="1" max="1" width="7.5703125" customWidth="1"/>
    <col min="2" max="2" width="6" customWidth="1"/>
    <col min="3" max="3" width="10" customWidth="1"/>
    <col min="4" max="4" width="14" customWidth="1"/>
    <col min="5" max="10" width="12" customWidth="1"/>
    <col min="11" max="11" width="14" customWidth="1"/>
  </cols>
  <sheetData>
    <row r="1" spans="1:1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x14ac:dyDescent="0.25">
      <c r="A2" t="s">
        <v>0</v>
      </c>
      <c r="B2" s="2">
        <v>1</v>
      </c>
      <c r="C2" t="s">
        <v>21</v>
      </c>
      <c r="D2" t="s">
        <v>22</v>
      </c>
      <c r="E2" s="3">
        <v>1115085</v>
      </c>
      <c r="F2" s="3">
        <v>341919</v>
      </c>
      <c r="G2" s="3">
        <v>846438</v>
      </c>
      <c r="H2" s="3">
        <v>492998</v>
      </c>
      <c r="I2" s="3">
        <v>1124363</v>
      </c>
      <c r="J2" s="3">
        <v>778111</v>
      </c>
      <c r="K2" s="3">
        <v>4698914</v>
      </c>
    </row>
    <row r="3" spans="1:11" x14ac:dyDescent="0.25">
      <c r="A3" t="s">
        <v>2</v>
      </c>
      <c r="B3" s="2">
        <v>2</v>
      </c>
      <c r="C3" t="s">
        <v>31</v>
      </c>
      <c r="D3" t="s">
        <v>48</v>
      </c>
      <c r="E3" s="3">
        <v>2015765</v>
      </c>
      <c r="F3" s="3">
        <v>1217452</v>
      </c>
      <c r="G3" s="3">
        <v>118391</v>
      </c>
      <c r="H3" s="3">
        <v>430253</v>
      </c>
      <c r="I3" s="3">
        <v>112521</v>
      </c>
      <c r="J3" s="3">
        <v>448014</v>
      </c>
      <c r="K3" s="3">
        <v>4342396</v>
      </c>
    </row>
    <row r="4" spans="1:11" x14ac:dyDescent="0.25">
      <c r="A4" t="s">
        <v>9</v>
      </c>
      <c r="B4" s="2">
        <v>3</v>
      </c>
      <c r="C4" t="s">
        <v>21</v>
      </c>
      <c r="D4" t="s">
        <v>82</v>
      </c>
      <c r="E4" s="3">
        <v>925074</v>
      </c>
      <c r="F4" s="3">
        <v>733034</v>
      </c>
      <c r="G4" s="3">
        <v>673991</v>
      </c>
      <c r="H4" s="3">
        <v>492883</v>
      </c>
      <c r="I4" s="3">
        <v>600195</v>
      </c>
      <c r="J4" s="3">
        <v>576777</v>
      </c>
      <c r="K4" s="3">
        <v>4001954</v>
      </c>
    </row>
    <row r="5" spans="1:11" x14ac:dyDescent="0.25">
      <c r="A5" t="s">
        <v>2</v>
      </c>
      <c r="B5" s="2">
        <v>4</v>
      </c>
      <c r="C5" t="s">
        <v>21</v>
      </c>
      <c r="D5" t="s">
        <v>22</v>
      </c>
      <c r="E5" s="3">
        <v>2402902</v>
      </c>
      <c r="F5" s="3">
        <v>470776</v>
      </c>
      <c r="G5" s="3">
        <v>239501</v>
      </c>
      <c r="H5" s="3">
        <v>315848</v>
      </c>
      <c r="I5" s="3">
        <v>258453</v>
      </c>
      <c r="J5" s="3">
        <v>0</v>
      </c>
      <c r="K5" s="3">
        <v>3687480</v>
      </c>
    </row>
    <row r="6" spans="1:11" x14ac:dyDescent="0.25">
      <c r="A6" t="s">
        <v>8</v>
      </c>
      <c r="B6" s="2">
        <v>5</v>
      </c>
      <c r="C6" t="s">
        <v>21</v>
      </c>
      <c r="D6" t="s">
        <v>83</v>
      </c>
      <c r="E6" s="3">
        <v>1244049</v>
      </c>
      <c r="F6" s="3">
        <v>377342</v>
      </c>
      <c r="G6" s="3">
        <v>419994</v>
      </c>
      <c r="H6" s="3">
        <v>616582</v>
      </c>
      <c r="I6" s="3">
        <v>352445</v>
      </c>
      <c r="J6" s="3">
        <v>601376</v>
      </c>
      <c r="K6" s="3">
        <v>3611788</v>
      </c>
    </row>
    <row r="7" spans="1:11" x14ac:dyDescent="0.25">
      <c r="A7" t="s">
        <v>1</v>
      </c>
      <c r="B7" s="2">
        <v>6</v>
      </c>
      <c r="C7" t="s">
        <v>23</v>
      </c>
      <c r="D7" t="s">
        <v>26</v>
      </c>
      <c r="E7" s="3">
        <v>848954</v>
      </c>
      <c r="F7" s="3">
        <v>1046141</v>
      </c>
      <c r="G7" s="3">
        <v>613511</v>
      </c>
      <c r="H7" s="3">
        <v>294819</v>
      </c>
      <c r="I7" s="3">
        <v>339538</v>
      </c>
      <c r="J7" s="3">
        <v>414922</v>
      </c>
      <c r="K7" s="3">
        <v>3557885</v>
      </c>
    </row>
    <row r="8" spans="1:11" x14ac:dyDescent="0.25">
      <c r="A8" t="s">
        <v>2</v>
      </c>
      <c r="B8" s="2">
        <v>7</v>
      </c>
      <c r="C8" t="s">
        <v>29</v>
      </c>
      <c r="D8" t="s">
        <v>34</v>
      </c>
      <c r="E8" s="3">
        <v>1153003</v>
      </c>
      <c r="F8" s="3">
        <v>538285</v>
      </c>
      <c r="G8" s="3">
        <v>220411</v>
      </c>
      <c r="H8" s="3">
        <v>252855</v>
      </c>
      <c r="I8" s="3">
        <v>341910</v>
      </c>
      <c r="J8" s="3">
        <v>893159</v>
      </c>
      <c r="K8" s="3">
        <v>3399623</v>
      </c>
    </row>
    <row r="9" spans="1:11" x14ac:dyDescent="0.25">
      <c r="A9" t="s">
        <v>4</v>
      </c>
      <c r="B9" s="2">
        <v>8</v>
      </c>
      <c r="C9" t="s">
        <v>23</v>
      </c>
      <c r="D9" t="s">
        <v>34</v>
      </c>
      <c r="E9" s="3">
        <v>969739</v>
      </c>
      <c r="F9" s="3">
        <v>757300</v>
      </c>
      <c r="G9" s="3">
        <v>369106</v>
      </c>
      <c r="H9" s="3">
        <v>315077</v>
      </c>
      <c r="I9" s="3">
        <v>374570</v>
      </c>
      <c r="J9" s="3">
        <v>522076</v>
      </c>
      <c r="K9" s="3">
        <v>3307868</v>
      </c>
    </row>
    <row r="10" spans="1:11" x14ac:dyDescent="0.25">
      <c r="A10" t="s">
        <v>0</v>
      </c>
      <c r="B10" s="2">
        <v>9</v>
      </c>
      <c r="C10" t="s">
        <v>23</v>
      </c>
      <c r="D10" t="s">
        <v>24</v>
      </c>
      <c r="E10" s="3">
        <v>1008708</v>
      </c>
      <c r="F10" s="3">
        <v>472881</v>
      </c>
      <c r="G10" s="3">
        <v>629607</v>
      </c>
      <c r="H10" s="3">
        <v>440704</v>
      </c>
      <c r="I10" s="3">
        <v>373868</v>
      </c>
      <c r="J10" s="3">
        <v>237182</v>
      </c>
      <c r="K10" s="3">
        <v>3162950</v>
      </c>
    </row>
    <row r="11" spans="1:11" x14ac:dyDescent="0.25">
      <c r="A11" t="s">
        <v>7</v>
      </c>
      <c r="B11" s="2">
        <v>10</v>
      </c>
      <c r="C11" t="s">
        <v>21</v>
      </c>
      <c r="D11" t="s">
        <v>83</v>
      </c>
      <c r="E11" s="3">
        <v>591851</v>
      </c>
      <c r="F11" s="3">
        <v>807075</v>
      </c>
      <c r="G11" s="3">
        <v>489915</v>
      </c>
      <c r="H11" s="3">
        <v>561896</v>
      </c>
      <c r="I11" s="3">
        <v>301305</v>
      </c>
      <c r="J11" s="3">
        <v>350230</v>
      </c>
      <c r="K11" s="3">
        <v>3102272</v>
      </c>
    </row>
    <row r="12" spans="1:11" x14ac:dyDescent="0.25">
      <c r="A12" t="s">
        <v>1</v>
      </c>
      <c r="B12" s="2">
        <v>11</v>
      </c>
      <c r="C12" t="s">
        <v>21</v>
      </c>
      <c r="D12" t="s">
        <v>22</v>
      </c>
      <c r="E12" s="3">
        <v>1004444</v>
      </c>
      <c r="F12" s="3">
        <v>1143002</v>
      </c>
      <c r="G12" s="3">
        <v>227265</v>
      </c>
      <c r="H12" s="3">
        <v>255989</v>
      </c>
      <c r="I12" s="3">
        <v>208634</v>
      </c>
      <c r="J12" s="3">
        <v>230683</v>
      </c>
      <c r="K12" s="3">
        <v>3070017</v>
      </c>
    </row>
    <row r="13" spans="1:11" x14ac:dyDescent="0.25">
      <c r="A13" t="s">
        <v>0</v>
      </c>
      <c r="B13" s="2">
        <v>12</v>
      </c>
      <c r="C13" t="s">
        <v>25</v>
      </c>
      <c r="D13" t="s">
        <v>26</v>
      </c>
      <c r="E13" s="3">
        <v>0</v>
      </c>
      <c r="F13" s="3">
        <v>0</v>
      </c>
      <c r="G13" s="3">
        <v>0</v>
      </c>
      <c r="H13" s="3">
        <v>1257204</v>
      </c>
      <c r="I13" s="3">
        <v>1007459</v>
      </c>
      <c r="J13" s="3">
        <v>758338</v>
      </c>
      <c r="K13" s="3">
        <v>3023001</v>
      </c>
    </row>
    <row r="14" spans="1:11" x14ac:dyDescent="0.25">
      <c r="A14" t="s">
        <v>6</v>
      </c>
      <c r="B14" s="2">
        <v>13</v>
      </c>
      <c r="C14" t="s">
        <v>21</v>
      </c>
      <c r="D14" t="s">
        <v>78</v>
      </c>
      <c r="E14" s="3">
        <v>863720</v>
      </c>
      <c r="F14" s="3">
        <v>370208</v>
      </c>
      <c r="G14" s="3">
        <v>361412</v>
      </c>
      <c r="H14" s="3">
        <v>655616</v>
      </c>
      <c r="I14" s="3">
        <v>343196</v>
      </c>
      <c r="J14" s="3">
        <v>304637</v>
      </c>
      <c r="K14" s="3">
        <v>2898789</v>
      </c>
    </row>
    <row r="15" spans="1:11" x14ac:dyDescent="0.25">
      <c r="A15" t="s">
        <v>1</v>
      </c>
      <c r="B15" s="2">
        <v>14</v>
      </c>
      <c r="C15" t="s">
        <v>27</v>
      </c>
      <c r="D15" t="s">
        <v>28</v>
      </c>
      <c r="E15" s="3">
        <v>1383340</v>
      </c>
      <c r="F15" s="3">
        <v>366100</v>
      </c>
      <c r="G15" s="3">
        <v>454543</v>
      </c>
      <c r="H15" s="3">
        <v>209356</v>
      </c>
      <c r="I15" s="3">
        <v>233300</v>
      </c>
      <c r="J15" s="3">
        <v>205974</v>
      </c>
      <c r="K15" s="3">
        <v>2852613</v>
      </c>
    </row>
    <row r="16" spans="1:11" x14ac:dyDescent="0.25">
      <c r="A16" t="s">
        <v>8</v>
      </c>
      <c r="B16" s="2">
        <v>15</v>
      </c>
      <c r="C16" t="s">
        <v>25</v>
      </c>
      <c r="D16" t="s">
        <v>82</v>
      </c>
      <c r="E16" s="3">
        <v>0</v>
      </c>
      <c r="F16" s="3">
        <v>367943</v>
      </c>
      <c r="G16" s="3">
        <v>451485</v>
      </c>
      <c r="H16" s="3">
        <v>569529</v>
      </c>
      <c r="I16" s="3">
        <v>399150</v>
      </c>
      <c r="J16" s="3">
        <v>1046421</v>
      </c>
      <c r="K16" s="3">
        <v>2834528</v>
      </c>
    </row>
    <row r="17" spans="1:11" x14ac:dyDescent="0.25">
      <c r="A17" t="s">
        <v>4</v>
      </c>
      <c r="B17" s="2">
        <v>16</v>
      </c>
      <c r="C17" t="s">
        <v>21</v>
      </c>
      <c r="D17" t="s">
        <v>48</v>
      </c>
      <c r="E17" s="3">
        <v>909238</v>
      </c>
      <c r="F17" s="3">
        <v>260742</v>
      </c>
      <c r="G17" s="3">
        <v>307526</v>
      </c>
      <c r="H17" s="3">
        <v>350999</v>
      </c>
      <c r="I17" s="3">
        <v>300461</v>
      </c>
      <c r="J17" s="3">
        <v>671288</v>
      </c>
      <c r="K17" s="3">
        <v>2800254</v>
      </c>
    </row>
    <row r="18" spans="1:11" x14ac:dyDescent="0.25">
      <c r="A18" t="s">
        <v>3</v>
      </c>
      <c r="B18" s="2">
        <v>17</v>
      </c>
      <c r="C18" t="s">
        <v>21</v>
      </c>
      <c r="D18" t="s">
        <v>48</v>
      </c>
      <c r="E18" s="3">
        <v>567126</v>
      </c>
      <c r="F18" s="3">
        <v>390782</v>
      </c>
      <c r="G18" s="3">
        <v>453510</v>
      </c>
      <c r="H18" s="3">
        <v>900000</v>
      </c>
      <c r="I18" s="3">
        <v>226818</v>
      </c>
      <c r="J18" s="3">
        <v>212378</v>
      </c>
      <c r="K18" s="3">
        <v>2750614</v>
      </c>
    </row>
    <row r="19" spans="1:11" x14ac:dyDescent="0.25">
      <c r="A19" t="s">
        <v>1</v>
      </c>
      <c r="B19" s="2">
        <v>18</v>
      </c>
      <c r="C19" t="s">
        <v>31</v>
      </c>
      <c r="D19" t="s">
        <v>24</v>
      </c>
      <c r="E19" s="3">
        <v>797378</v>
      </c>
      <c r="F19" s="3">
        <v>400042</v>
      </c>
      <c r="G19" s="3">
        <v>505802</v>
      </c>
      <c r="H19" s="3">
        <v>566832</v>
      </c>
      <c r="I19" s="3">
        <v>200042</v>
      </c>
      <c r="J19" s="3">
        <v>165003</v>
      </c>
      <c r="K19" s="3">
        <v>2635099</v>
      </c>
    </row>
    <row r="20" spans="1:11" x14ac:dyDescent="0.25">
      <c r="A20" t="s">
        <v>4</v>
      </c>
      <c r="B20" s="2">
        <v>19</v>
      </c>
      <c r="C20" t="s">
        <v>27</v>
      </c>
      <c r="D20" t="s">
        <v>56</v>
      </c>
      <c r="E20" s="3">
        <v>801888</v>
      </c>
      <c r="F20" s="3">
        <v>461974</v>
      </c>
      <c r="G20" s="3">
        <v>534392</v>
      </c>
      <c r="H20" s="3">
        <v>217950</v>
      </c>
      <c r="I20" s="3">
        <v>191753</v>
      </c>
      <c r="J20" s="3">
        <v>384754</v>
      </c>
      <c r="K20" s="3">
        <v>2592711</v>
      </c>
    </row>
    <row r="21" spans="1:11" x14ac:dyDescent="0.25">
      <c r="A21" t="s">
        <v>6</v>
      </c>
      <c r="B21" s="2">
        <v>20</v>
      </c>
      <c r="C21" t="s">
        <v>25</v>
      </c>
      <c r="D21" t="s">
        <v>83</v>
      </c>
      <c r="E21" s="3">
        <v>0</v>
      </c>
      <c r="F21" s="3">
        <v>725000</v>
      </c>
      <c r="G21" s="3">
        <v>140721</v>
      </c>
      <c r="H21" s="3">
        <v>716412</v>
      </c>
      <c r="I21" s="3">
        <v>959426</v>
      </c>
      <c r="J21" s="3">
        <v>35000</v>
      </c>
      <c r="K21" s="3">
        <v>2576559</v>
      </c>
    </row>
    <row r="22" spans="1:11" x14ac:dyDescent="0.25">
      <c r="A22" t="s">
        <v>9</v>
      </c>
      <c r="B22" s="2">
        <v>21</v>
      </c>
      <c r="C22" t="s">
        <v>23</v>
      </c>
      <c r="D22" t="s">
        <v>83</v>
      </c>
      <c r="E22" s="3">
        <v>794969</v>
      </c>
      <c r="F22" s="3">
        <v>405043</v>
      </c>
      <c r="G22" s="3">
        <v>304339</v>
      </c>
      <c r="H22" s="3">
        <v>346871</v>
      </c>
      <c r="I22" s="3">
        <v>275741</v>
      </c>
      <c r="J22" s="3">
        <v>290860</v>
      </c>
      <c r="K22" s="3">
        <v>2417823</v>
      </c>
    </row>
    <row r="23" spans="1:11" x14ac:dyDescent="0.25">
      <c r="A23" t="s">
        <v>1</v>
      </c>
      <c r="B23" s="2">
        <v>22</v>
      </c>
      <c r="C23" t="s">
        <v>25</v>
      </c>
      <c r="D23" t="s">
        <v>47</v>
      </c>
      <c r="E23" s="3">
        <v>0</v>
      </c>
      <c r="F23" s="3">
        <v>1111211</v>
      </c>
      <c r="G23" s="3">
        <v>369773</v>
      </c>
      <c r="H23" s="3">
        <v>719233</v>
      </c>
      <c r="I23" s="3">
        <v>29561</v>
      </c>
      <c r="J23" s="3">
        <v>183271</v>
      </c>
      <c r="K23" s="3">
        <v>2413049</v>
      </c>
    </row>
    <row r="24" spans="1:11" x14ac:dyDescent="0.25">
      <c r="A24" t="s">
        <v>5</v>
      </c>
      <c r="B24" s="2">
        <v>23</v>
      </c>
      <c r="C24" t="s">
        <v>21</v>
      </c>
      <c r="D24" t="s">
        <v>48</v>
      </c>
      <c r="E24" s="3">
        <v>1000066</v>
      </c>
      <c r="F24" s="3">
        <v>286508</v>
      </c>
      <c r="G24" s="3">
        <v>278619</v>
      </c>
      <c r="H24" s="3">
        <v>334793</v>
      </c>
      <c r="I24" s="3">
        <v>284973</v>
      </c>
      <c r="J24" s="3">
        <v>173383</v>
      </c>
      <c r="K24" s="3">
        <v>2358342</v>
      </c>
    </row>
    <row r="25" spans="1:11" x14ac:dyDescent="0.25">
      <c r="A25" t="s">
        <v>4</v>
      </c>
      <c r="B25" s="2">
        <v>24</v>
      </c>
      <c r="C25" t="s">
        <v>31</v>
      </c>
      <c r="D25" t="s">
        <v>47</v>
      </c>
      <c r="E25" s="3">
        <v>486050</v>
      </c>
      <c r="F25" s="3">
        <v>229580</v>
      </c>
      <c r="G25" s="3">
        <v>569214</v>
      </c>
      <c r="H25" s="3">
        <v>258061</v>
      </c>
      <c r="I25" s="3">
        <v>130462</v>
      </c>
      <c r="J25" s="3">
        <v>681976</v>
      </c>
      <c r="K25" s="3">
        <v>2355343</v>
      </c>
    </row>
    <row r="26" spans="1:11" x14ac:dyDescent="0.25">
      <c r="A26" t="s">
        <v>6</v>
      </c>
      <c r="B26" s="2">
        <v>25</v>
      </c>
      <c r="C26" t="s">
        <v>35</v>
      </c>
      <c r="D26" t="s">
        <v>56</v>
      </c>
      <c r="E26" s="3">
        <v>713545</v>
      </c>
      <c r="F26" s="3">
        <v>231856</v>
      </c>
      <c r="G26" s="3">
        <v>238168</v>
      </c>
      <c r="H26" s="3">
        <v>478251</v>
      </c>
      <c r="I26" s="3">
        <v>538242</v>
      </c>
      <c r="J26" s="3">
        <v>141304</v>
      </c>
      <c r="K26" s="3">
        <v>2341366</v>
      </c>
    </row>
    <row r="27" spans="1:11" x14ac:dyDescent="0.25">
      <c r="A27" t="s">
        <v>1</v>
      </c>
      <c r="B27" s="2">
        <v>26</v>
      </c>
      <c r="C27" t="s">
        <v>29</v>
      </c>
      <c r="D27" t="s">
        <v>34</v>
      </c>
      <c r="E27" s="3">
        <v>388176</v>
      </c>
      <c r="F27" s="3">
        <v>520087</v>
      </c>
      <c r="G27" s="3">
        <v>478500</v>
      </c>
      <c r="H27" s="3">
        <v>426100</v>
      </c>
      <c r="I27" s="3">
        <v>218337</v>
      </c>
      <c r="J27" s="3">
        <v>302304</v>
      </c>
      <c r="K27" s="3">
        <v>2333504</v>
      </c>
    </row>
    <row r="28" spans="1:11" x14ac:dyDescent="0.25">
      <c r="A28" t="s">
        <v>5</v>
      </c>
      <c r="B28" s="2">
        <v>27</v>
      </c>
      <c r="C28" t="s">
        <v>23</v>
      </c>
      <c r="D28" t="s">
        <v>47</v>
      </c>
      <c r="E28" s="3">
        <v>1010462</v>
      </c>
      <c r="F28" s="3">
        <v>308099</v>
      </c>
      <c r="G28" s="3">
        <v>290074</v>
      </c>
      <c r="H28" s="3">
        <v>227114</v>
      </c>
      <c r="I28" s="3">
        <v>333858</v>
      </c>
      <c r="J28" s="3">
        <v>140821</v>
      </c>
      <c r="K28" s="3">
        <v>2310428</v>
      </c>
    </row>
    <row r="29" spans="1:11" x14ac:dyDescent="0.25">
      <c r="A29" t="s">
        <v>6</v>
      </c>
      <c r="B29" s="2">
        <v>28</v>
      </c>
      <c r="C29" t="s">
        <v>23</v>
      </c>
      <c r="D29" t="s">
        <v>24</v>
      </c>
      <c r="E29" s="3">
        <v>851192</v>
      </c>
      <c r="F29" s="3">
        <v>289758</v>
      </c>
      <c r="G29" s="3">
        <v>305572</v>
      </c>
      <c r="H29" s="3">
        <v>252275</v>
      </c>
      <c r="I29" s="3">
        <v>366914</v>
      </c>
      <c r="J29" s="3">
        <v>213100</v>
      </c>
      <c r="K29" s="3">
        <v>2278811</v>
      </c>
    </row>
    <row r="30" spans="1:11" x14ac:dyDescent="0.25">
      <c r="A30" t="s">
        <v>7</v>
      </c>
      <c r="B30" s="2">
        <v>29</v>
      </c>
      <c r="C30" t="s">
        <v>23</v>
      </c>
      <c r="D30" t="s">
        <v>56</v>
      </c>
      <c r="E30" s="3">
        <v>1141001</v>
      </c>
      <c r="F30" s="3">
        <v>270318</v>
      </c>
      <c r="G30" s="3">
        <v>113320</v>
      </c>
      <c r="H30" s="3">
        <v>200407</v>
      </c>
      <c r="I30" s="3">
        <v>253261</v>
      </c>
      <c r="J30" s="3">
        <v>279546</v>
      </c>
      <c r="K30" s="3">
        <v>2257853</v>
      </c>
    </row>
    <row r="31" spans="1:11" x14ac:dyDescent="0.25">
      <c r="A31" t="s">
        <v>1</v>
      </c>
      <c r="B31" s="2">
        <v>30</v>
      </c>
      <c r="C31" t="s">
        <v>35</v>
      </c>
      <c r="D31" t="s">
        <v>30</v>
      </c>
      <c r="E31" s="3">
        <v>1226169</v>
      </c>
      <c r="F31" s="3">
        <v>546973</v>
      </c>
      <c r="G31" s="3">
        <v>28617</v>
      </c>
      <c r="H31" s="3">
        <v>81336</v>
      </c>
      <c r="I31" s="3">
        <v>140231</v>
      </c>
      <c r="J31" s="3">
        <v>75017</v>
      </c>
      <c r="K31" s="3">
        <v>2098343</v>
      </c>
    </row>
    <row r="32" spans="1:11" x14ac:dyDescent="0.25">
      <c r="A32" t="s">
        <v>3</v>
      </c>
      <c r="B32" s="2">
        <v>31</v>
      </c>
      <c r="C32" t="s">
        <v>31</v>
      </c>
      <c r="D32" t="s">
        <v>47</v>
      </c>
      <c r="E32" s="3">
        <v>641703</v>
      </c>
      <c r="F32" s="3">
        <v>255893</v>
      </c>
      <c r="G32" s="3">
        <v>234709</v>
      </c>
      <c r="H32" s="3">
        <v>492569</v>
      </c>
      <c r="I32" s="3">
        <v>84974</v>
      </c>
      <c r="J32" s="3">
        <v>380703</v>
      </c>
      <c r="K32" s="3">
        <v>2090551</v>
      </c>
    </row>
    <row r="33" spans="1:11" x14ac:dyDescent="0.25">
      <c r="A33" t="s">
        <v>5</v>
      </c>
      <c r="B33" s="2">
        <v>32</v>
      </c>
      <c r="C33" t="s">
        <v>27</v>
      </c>
      <c r="D33" t="s">
        <v>24</v>
      </c>
      <c r="E33" s="3">
        <v>794394</v>
      </c>
      <c r="F33" s="3">
        <v>285655</v>
      </c>
      <c r="G33" s="3">
        <v>262224</v>
      </c>
      <c r="H33" s="3">
        <v>388403</v>
      </c>
      <c r="I33" s="3">
        <v>209933</v>
      </c>
      <c r="J33" s="3">
        <v>129732</v>
      </c>
      <c r="K33" s="3">
        <v>2070341</v>
      </c>
    </row>
    <row r="34" spans="1:11" x14ac:dyDescent="0.25">
      <c r="A34" t="s">
        <v>8</v>
      </c>
      <c r="B34" s="2">
        <v>33</v>
      </c>
      <c r="C34" t="s">
        <v>23</v>
      </c>
      <c r="D34" t="s">
        <v>56</v>
      </c>
      <c r="E34" s="3">
        <v>1011206</v>
      </c>
      <c r="F34" s="3">
        <v>241040</v>
      </c>
      <c r="G34" s="3">
        <v>275722</v>
      </c>
      <c r="H34" s="3">
        <v>114690</v>
      </c>
      <c r="I34" s="3">
        <v>235842</v>
      </c>
      <c r="J34" s="3">
        <v>155580</v>
      </c>
      <c r="K34" s="3">
        <v>2034080</v>
      </c>
    </row>
    <row r="35" spans="1:11" x14ac:dyDescent="0.25">
      <c r="A35" t="s">
        <v>2</v>
      </c>
      <c r="B35" s="2">
        <v>34</v>
      </c>
      <c r="C35" t="s">
        <v>35</v>
      </c>
      <c r="D35" t="s">
        <v>47</v>
      </c>
      <c r="E35" s="3">
        <v>1067104</v>
      </c>
      <c r="F35" s="3">
        <v>81301</v>
      </c>
      <c r="G35" s="3">
        <v>72249</v>
      </c>
      <c r="H35" s="3">
        <v>156768</v>
      </c>
      <c r="I35" s="3">
        <v>88356</v>
      </c>
      <c r="J35" s="3">
        <v>548334</v>
      </c>
      <c r="K35" s="3">
        <v>2014112</v>
      </c>
    </row>
    <row r="36" spans="1:11" x14ac:dyDescent="0.25">
      <c r="A36" t="s">
        <v>2</v>
      </c>
      <c r="B36" s="2">
        <v>35</v>
      </c>
      <c r="C36" t="s">
        <v>23</v>
      </c>
      <c r="D36" t="s">
        <v>26</v>
      </c>
      <c r="E36" s="3">
        <v>1855686</v>
      </c>
      <c r="F36" s="3">
        <v>132032</v>
      </c>
      <c r="G36" s="3">
        <v>24963</v>
      </c>
      <c r="H36" s="3">
        <v>0</v>
      </c>
      <c r="I36" s="3">
        <v>0</v>
      </c>
      <c r="J36" s="3">
        <v>0</v>
      </c>
      <c r="K36" s="3">
        <v>2012681</v>
      </c>
    </row>
    <row r="37" spans="1:11" x14ac:dyDescent="0.25">
      <c r="A37" t="s">
        <v>4</v>
      </c>
      <c r="B37" s="2">
        <v>36</v>
      </c>
      <c r="C37" t="s">
        <v>70</v>
      </c>
      <c r="D37" t="s">
        <v>24</v>
      </c>
      <c r="E37" s="3">
        <v>0</v>
      </c>
      <c r="F37" s="3">
        <v>761545</v>
      </c>
      <c r="G37" s="3">
        <v>181511</v>
      </c>
      <c r="H37" s="3">
        <v>63830</v>
      </c>
      <c r="I37" s="3">
        <v>430222</v>
      </c>
      <c r="J37" s="3">
        <v>538134</v>
      </c>
      <c r="K37" s="3">
        <v>1975242</v>
      </c>
    </row>
    <row r="38" spans="1:11" x14ac:dyDescent="0.25">
      <c r="A38" t="s">
        <v>9</v>
      </c>
      <c r="B38" s="2">
        <v>37</v>
      </c>
      <c r="C38" t="s">
        <v>31</v>
      </c>
      <c r="D38" t="s">
        <v>28</v>
      </c>
      <c r="E38" s="3">
        <v>960781</v>
      </c>
      <c r="F38" s="3">
        <v>225279</v>
      </c>
      <c r="G38" s="3">
        <v>134887</v>
      </c>
      <c r="H38" s="3">
        <v>236531</v>
      </c>
      <c r="I38" s="3">
        <v>82920</v>
      </c>
      <c r="J38" s="3">
        <v>281268</v>
      </c>
      <c r="K38" s="3">
        <v>1921666</v>
      </c>
    </row>
    <row r="39" spans="1:11" x14ac:dyDescent="0.25">
      <c r="A39" t="s">
        <v>6</v>
      </c>
      <c r="B39" s="2">
        <v>38</v>
      </c>
      <c r="C39" t="s">
        <v>29</v>
      </c>
      <c r="D39" t="s">
        <v>28</v>
      </c>
      <c r="E39" s="3">
        <v>650239</v>
      </c>
      <c r="F39" s="3">
        <v>304311</v>
      </c>
      <c r="G39" s="3">
        <v>112707</v>
      </c>
      <c r="H39" s="3">
        <v>371422</v>
      </c>
      <c r="I39" s="3">
        <v>331876</v>
      </c>
      <c r="J39" s="3">
        <v>120000</v>
      </c>
      <c r="K39" s="3">
        <v>1890555</v>
      </c>
    </row>
    <row r="40" spans="1:11" x14ac:dyDescent="0.25">
      <c r="A40" t="s">
        <v>2</v>
      </c>
      <c r="B40" s="2">
        <v>39</v>
      </c>
      <c r="C40" t="s">
        <v>33</v>
      </c>
      <c r="D40" t="s">
        <v>42</v>
      </c>
      <c r="E40" s="3">
        <v>812036</v>
      </c>
      <c r="F40" s="3">
        <v>154098</v>
      </c>
      <c r="G40" s="3">
        <v>150131</v>
      </c>
      <c r="H40" s="3">
        <v>209356</v>
      </c>
      <c r="I40" s="3">
        <v>220528</v>
      </c>
      <c r="J40" s="3">
        <v>296743</v>
      </c>
      <c r="K40" s="3">
        <v>1842892</v>
      </c>
    </row>
    <row r="41" spans="1:11" x14ac:dyDescent="0.25">
      <c r="A41" t="s">
        <v>0</v>
      </c>
      <c r="B41" s="2">
        <v>40</v>
      </c>
      <c r="C41" t="s">
        <v>27</v>
      </c>
      <c r="D41" t="s">
        <v>28</v>
      </c>
      <c r="E41" s="3">
        <v>513851</v>
      </c>
      <c r="F41" s="3">
        <v>419632</v>
      </c>
      <c r="G41" s="3">
        <v>187037</v>
      </c>
      <c r="H41" s="3">
        <v>379536</v>
      </c>
      <c r="I41" s="3">
        <v>110474</v>
      </c>
      <c r="J41" s="3">
        <v>229175</v>
      </c>
      <c r="K41" s="3">
        <v>1839705</v>
      </c>
    </row>
    <row r="42" spans="1:11" x14ac:dyDescent="0.25">
      <c r="A42" t="s">
        <v>3</v>
      </c>
      <c r="B42" s="2">
        <v>41</v>
      </c>
      <c r="C42" t="s">
        <v>23</v>
      </c>
      <c r="D42" t="s">
        <v>34</v>
      </c>
      <c r="E42" s="3">
        <v>186355</v>
      </c>
      <c r="F42" s="3">
        <v>271267</v>
      </c>
      <c r="G42" s="3">
        <v>332000</v>
      </c>
      <c r="H42" s="3">
        <v>327743</v>
      </c>
      <c r="I42" s="3">
        <v>214485</v>
      </c>
      <c r="J42" s="3">
        <v>507803</v>
      </c>
      <c r="K42" s="3">
        <v>1839653</v>
      </c>
    </row>
    <row r="43" spans="1:11" x14ac:dyDescent="0.25">
      <c r="A43" t="s">
        <v>5</v>
      </c>
      <c r="B43" s="2">
        <v>42</v>
      </c>
      <c r="C43" t="s">
        <v>35</v>
      </c>
      <c r="D43" t="s">
        <v>56</v>
      </c>
      <c r="E43" s="3">
        <v>613269</v>
      </c>
      <c r="F43" s="3">
        <v>401056</v>
      </c>
      <c r="G43" s="3">
        <v>206403</v>
      </c>
      <c r="H43" s="3">
        <v>188466</v>
      </c>
      <c r="I43" s="3">
        <v>286083</v>
      </c>
      <c r="J43" s="3">
        <v>142859</v>
      </c>
      <c r="K43" s="3">
        <v>1838136</v>
      </c>
    </row>
    <row r="44" spans="1:11" x14ac:dyDescent="0.25">
      <c r="A44" t="s">
        <v>2</v>
      </c>
      <c r="B44" s="2">
        <v>43</v>
      </c>
      <c r="C44" t="s">
        <v>27</v>
      </c>
      <c r="D44" t="s">
        <v>24</v>
      </c>
      <c r="E44" s="3">
        <v>1638477</v>
      </c>
      <c r="F44" s="3">
        <v>194916</v>
      </c>
      <c r="G44" s="3">
        <v>0</v>
      </c>
      <c r="H44" s="3">
        <v>0</v>
      </c>
      <c r="I44" s="3">
        <v>0</v>
      </c>
      <c r="J44" s="3">
        <v>0</v>
      </c>
      <c r="K44" s="3">
        <v>1833393</v>
      </c>
    </row>
    <row r="45" spans="1:11" x14ac:dyDescent="0.25">
      <c r="A45" t="s">
        <v>5</v>
      </c>
      <c r="B45" s="2">
        <v>44</v>
      </c>
      <c r="C45" t="s">
        <v>33</v>
      </c>
      <c r="D45" t="s">
        <v>28</v>
      </c>
      <c r="E45" s="3">
        <v>672620</v>
      </c>
      <c r="F45" s="3">
        <v>325286</v>
      </c>
      <c r="G45" s="3">
        <v>180009</v>
      </c>
      <c r="H45" s="3">
        <v>240239</v>
      </c>
      <c r="I45" s="3">
        <v>197149</v>
      </c>
      <c r="J45" s="3">
        <v>186860</v>
      </c>
      <c r="K45" s="3">
        <v>1802163</v>
      </c>
    </row>
    <row r="46" spans="1:11" x14ac:dyDescent="0.25">
      <c r="A46" t="s">
        <v>6</v>
      </c>
      <c r="B46" s="2">
        <v>45</v>
      </c>
      <c r="C46" t="s">
        <v>27</v>
      </c>
      <c r="D46" t="s">
        <v>77</v>
      </c>
      <c r="E46" s="3">
        <v>596340</v>
      </c>
      <c r="F46" s="3">
        <v>179290</v>
      </c>
      <c r="G46" s="3">
        <v>154940</v>
      </c>
      <c r="H46" s="3">
        <v>275869</v>
      </c>
      <c r="I46" s="3">
        <v>406020</v>
      </c>
      <c r="J46" s="3">
        <v>186539</v>
      </c>
      <c r="K46" s="3">
        <v>1798998</v>
      </c>
    </row>
    <row r="47" spans="1:11" x14ac:dyDescent="0.25">
      <c r="A47" t="s">
        <v>7</v>
      </c>
      <c r="B47" s="2">
        <v>46</v>
      </c>
      <c r="C47" t="s">
        <v>27</v>
      </c>
      <c r="D47" t="s">
        <v>28</v>
      </c>
      <c r="E47" s="3">
        <v>660862</v>
      </c>
      <c r="F47" s="3">
        <v>292677</v>
      </c>
      <c r="G47" s="3">
        <v>265361</v>
      </c>
      <c r="H47" s="3">
        <v>152608</v>
      </c>
      <c r="I47" s="3">
        <v>160660</v>
      </c>
      <c r="J47" s="3">
        <v>258860</v>
      </c>
      <c r="K47" s="3">
        <v>1791028</v>
      </c>
    </row>
    <row r="48" spans="1:11" x14ac:dyDescent="0.25">
      <c r="A48" t="s">
        <v>1</v>
      </c>
      <c r="B48" s="2">
        <v>47</v>
      </c>
      <c r="C48" t="s">
        <v>39</v>
      </c>
      <c r="D48" t="s">
        <v>42</v>
      </c>
      <c r="E48" s="3">
        <v>244949</v>
      </c>
      <c r="F48" s="3">
        <v>200000</v>
      </c>
      <c r="G48" s="3">
        <v>180516</v>
      </c>
      <c r="H48" s="3">
        <v>190118</v>
      </c>
      <c r="I48" s="3">
        <v>606432</v>
      </c>
      <c r="J48" s="3">
        <v>364339</v>
      </c>
      <c r="K48" s="3">
        <v>1786354</v>
      </c>
    </row>
    <row r="49" spans="1:11" x14ac:dyDescent="0.25">
      <c r="A49" t="s">
        <v>8</v>
      </c>
      <c r="B49" s="2">
        <v>48</v>
      </c>
      <c r="C49" t="s">
        <v>35</v>
      </c>
      <c r="D49" t="s">
        <v>28</v>
      </c>
      <c r="E49" s="3">
        <v>395677</v>
      </c>
      <c r="F49" s="3">
        <v>233172</v>
      </c>
      <c r="G49" s="3">
        <v>108087</v>
      </c>
      <c r="H49" s="3">
        <v>242000</v>
      </c>
      <c r="I49" s="3">
        <v>378783</v>
      </c>
      <c r="J49" s="3">
        <v>354015</v>
      </c>
      <c r="K49" s="3">
        <v>1711734</v>
      </c>
    </row>
    <row r="50" spans="1:11" x14ac:dyDescent="0.25">
      <c r="A50" t="s">
        <v>7</v>
      </c>
      <c r="B50" s="2">
        <v>49</v>
      </c>
      <c r="C50" t="s">
        <v>37</v>
      </c>
      <c r="D50" t="s">
        <v>26</v>
      </c>
      <c r="E50" s="3">
        <v>357662</v>
      </c>
      <c r="F50" s="3">
        <v>528500</v>
      </c>
      <c r="G50" s="3">
        <v>244064</v>
      </c>
      <c r="H50" s="3">
        <v>231144</v>
      </c>
      <c r="I50" s="3">
        <v>73540</v>
      </c>
      <c r="J50" s="3">
        <v>269976</v>
      </c>
      <c r="K50" s="3">
        <v>1704886</v>
      </c>
    </row>
    <row r="51" spans="1:11" x14ac:dyDescent="0.25">
      <c r="A51" t="s">
        <v>0</v>
      </c>
      <c r="B51" s="2">
        <v>50</v>
      </c>
      <c r="C51" t="s">
        <v>29</v>
      </c>
      <c r="D51" t="s">
        <v>30</v>
      </c>
      <c r="E51" s="3">
        <v>334037</v>
      </c>
      <c r="F51" s="3">
        <v>294058</v>
      </c>
      <c r="G51" s="3">
        <v>224805</v>
      </c>
      <c r="H51" s="3">
        <v>173940</v>
      </c>
      <c r="I51" s="3">
        <v>124722</v>
      </c>
      <c r="J51" s="3">
        <v>542906</v>
      </c>
      <c r="K51" s="3">
        <v>1694468</v>
      </c>
    </row>
    <row r="52" spans="1:11" x14ac:dyDescent="0.25">
      <c r="A52" t="s">
        <v>0</v>
      </c>
      <c r="B52" s="2">
        <v>51</v>
      </c>
      <c r="C52" t="s">
        <v>31</v>
      </c>
      <c r="D52" t="s">
        <v>32</v>
      </c>
      <c r="E52" s="3">
        <v>846054</v>
      </c>
      <c r="F52" s="3">
        <v>252252</v>
      </c>
      <c r="G52" s="3">
        <v>129519</v>
      </c>
      <c r="H52" s="3">
        <v>420649</v>
      </c>
      <c r="I52" s="3">
        <v>0</v>
      </c>
      <c r="J52" s="3">
        <v>0</v>
      </c>
      <c r="K52" s="3">
        <v>1648474</v>
      </c>
    </row>
    <row r="53" spans="1:11" x14ac:dyDescent="0.25">
      <c r="A53" t="s">
        <v>5</v>
      </c>
      <c r="B53" s="2">
        <v>52</v>
      </c>
      <c r="C53" t="s">
        <v>31</v>
      </c>
      <c r="D53" t="s">
        <v>34</v>
      </c>
      <c r="E53" s="3">
        <v>560000</v>
      </c>
      <c r="F53" s="3">
        <v>240000</v>
      </c>
      <c r="G53" s="3">
        <v>161359</v>
      </c>
      <c r="H53" s="3">
        <v>234000</v>
      </c>
      <c r="I53" s="3">
        <v>274628</v>
      </c>
      <c r="J53" s="3">
        <v>176775</v>
      </c>
      <c r="K53" s="3">
        <v>1646762</v>
      </c>
    </row>
    <row r="54" spans="1:11" x14ac:dyDescent="0.25">
      <c r="A54" t="s">
        <v>4</v>
      </c>
      <c r="B54" s="2">
        <v>53</v>
      </c>
      <c r="C54" t="s">
        <v>29</v>
      </c>
      <c r="D54" t="s">
        <v>28</v>
      </c>
      <c r="E54" s="3">
        <v>593840</v>
      </c>
      <c r="F54" s="3">
        <v>125947</v>
      </c>
      <c r="G54" s="3">
        <v>205075</v>
      </c>
      <c r="H54" s="3">
        <v>120215</v>
      </c>
      <c r="I54" s="3">
        <v>93062</v>
      </c>
      <c r="J54" s="3">
        <v>504379</v>
      </c>
      <c r="K54" s="3">
        <v>1642518</v>
      </c>
    </row>
    <row r="55" spans="1:11" x14ac:dyDescent="0.25">
      <c r="A55" t="s">
        <v>7</v>
      </c>
      <c r="B55" s="2">
        <v>54</v>
      </c>
      <c r="C55" t="s">
        <v>31</v>
      </c>
      <c r="D55" t="s">
        <v>78</v>
      </c>
      <c r="E55" s="3">
        <v>681469</v>
      </c>
      <c r="F55" s="3">
        <v>276356</v>
      </c>
      <c r="G55" s="3">
        <v>270536</v>
      </c>
      <c r="H55" s="3">
        <v>132388</v>
      </c>
      <c r="I55" s="3">
        <v>205088</v>
      </c>
      <c r="J55" s="3">
        <v>46762</v>
      </c>
      <c r="K55" s="3">
        <v>1612599</v>
      </c>
    </row>
    <row r="56" spans="1:11" x14ac:dyDescent="0.25">
      <c r="A56" t="s">
        <v>6</v>
      </c>
      <c r="B56" s="2">
        <v>55</v>
      </c>
      <c r="C56" t="s">
        <v>31</v>
      </c>
      <c r="D56" t="s">
        <v>47</v>
      </c>
      <c r="E56" s="3">
        <v>793942</v>
      </c>
      <c r="F56" s="3">
        <v>197785</v>
      </c>
      <c r="G56" s="3">
        <v>95631</v>
      </c>
      <c r="H56" s="3">
        <v>114237</v>
      </c>
      <c r="I56" s="3">
        <v>191329</v>
      </c>
      <c r="J56" s="3">
        <v>201286</v>
      </c>
      <c r="K56" s="3">
        <v>1594210</v>
      </c>
    </row>
    <row r="57" spans="1:11" x14ac:dyDescent="0.25">
      <c r="A57" t="s">
        <v>7</v>
      </c>
      <c r="B57" s="2">
        <v>56</v>
      </c>
      <c r="C57" t="s">
        <v>29</v>
      </c>
      <c r="D57" t="s">
        <v>77</v>
      </c>
      <c r="E57" s="3">
        <v>421701</v>
      </c>
      <c r="F57" s="3">
        <v>379268</v>
      </c>
      <c r="G57" s="3">
        <v>172812</v>
      </c>
      <c r="H57" s="3">
        <v>266041</v>
      </c>
      <c r="I57" s="3">
        <v>120224</v>
      </c>
      <c r="J57" s="3">
        <v>199612</v>
      </c>
      <c r="K57" s="3">
        <v>1559658</v>
      </c>
    </row>
    <row r="58" spans="1:11" x14ac:dyDescent="0.25">
      <c r="A58" t="s">
        <v>8</v>
      </c>
      <c r="B58" s="2">
        <v>57</v>
      </c>
      <c r="C58" t="s">
        <v>27</v>
      </c>
      <c r="D58" t="s">
        <v>85</v>
      </c>
      <c r="E58" s="3">
        <v>394952</v>
      </c>
      <c r="F58" s="3">
        <v>270182</v>
      </c>
      <c r="G58" s="3">
        <v>214825</v>
      </c>
      <c r="H58" s="3">
        <v>302376</v>
      </c>
      <c r="I58" s="3">
        <v>102803</v>
      </c>
      <c r="J58" s="3">
        <v>251500</v>
      </c>
      <c r="K58" s="3">
        <v>1536638</v>
      </c>
    </row>
    <row r="59" spans="1:11" x14ac:dyDescent="0.25">
      <c r="A59" t="s">
        <v>2</v>
      </c>
      <c r="B59" s="2">
        <v>58</v>
      </c>
      <c r="C59" t="s">
        <v>41</v>
      </c>
      <c r="D59" t="s">
        <v>28</v>
      </c>
      <c r="E59" s="3">
        <v>446051</v>
      </c>
      <c r="F59" s="3">
        <v>126929</v>
      </c>
      <c r="G59" s="3">
        <v>347099</v>
      </c>
      <c r="H59" s="3">
        <v>121396</v>
      </c>
      <c r="I59" s="3">
        <v>188399</v>
      </c>
      <c r="J59" s="3">
        <v>303928</v>
      </c>
      <c r="K59" s="3">
        <v>1533802</v>
      </c>
    </row>
    <row r="60" spans="1:11" x14ac:dyDescent="0.25">
      <c r="A60" t="s">
        <v>7</v>
      </c>
      <c r="B60" s="2">
        <v>59</v>
      </c>
      <c r="C60" t="s">
        <v>45</v>
      </c>
      <c r="D60" t="s">
        <v>85</v>
      </c>
      <c r="E60" s="3">
        <v>345252</v>
      </c>
      <c r="F60" s="3">
        <v>363978</v>
      </c>
      <c r="G60" s="3">
        <v>190465</v>
      </c>
      <c r="H60" s="3">
        <v>194171</v>
      </c>
      <c r="I60" s="3">
        <v>60000</v>
      </c>
      <c r="J60" s="3">
        <v>364525</v>
      </c>
      <c r="K60" s="3">
        <v>1518391</v>
      </c>
    </row>
    <row r="61" spans="1:11" x14ac:dyDescent="0.25">
      <c r="A61" t="s">
        <v>5</v>
      </c>
      <c r="B61" s="2">
        <v>60</v>
      </c>
      <c r="C61" t="s">
        <v>29</v>
      </c>
      <c r="D61" t="s">
        <v>42</v>
      </c>
      <c r="E61" s="3">
        <v>831350</v>
      </c>
      <c r="F61" s="3">
        <v>116158</v>
      </c>
      <c r="G61" s="3">
        <v>158041</v>
      </c>
      <c r="H61" s="3">
        <v>86258</v>
      </c>
      <c r="I61" s="3">
        <v>121064</v>
      </c>
      <c r="J61" s="3">
        <v>180000</v>
      </c>
      <c r="K61" s="3">
        <v>1492871</v>
      </c>
    </row>
    <row r="62" spans="1:11" x14ac:dyDescent="0.25">
      <c r="A62" t="s">
        <v>9</v>
      </c>
      <c r="B62" s="2">
        <v>61</v>
      </c>
      <c r="C62" t="s">
        <v>50</v>
      </c>
      <c r="D62" t="s">
        <v>85</v>
      </c>
      <c r="E62" s="3">
        <v>508450</v>
      </c>
      <c r="F62" s="3">
        <v>259031</v>
      </c>
      <c r="G62" s="3">
        <v>109354</v>
      </c>
      <c r="H62" s="3">
        <v>203504</v>
      </c>
      <c r="I62" s="3">
        <v>200419</v>
      </c>
      <c r="J62" s="3">
        <v>190069</v>
      </c>
      <c r="K62" s="3">
        <v>1470827</v>
      </c>
    </row>
    <row r="63" spans="1:11" x14ac:dyDescent="0.25">
      <c r="A63" t="s">
        <v>5</v>
      </c>
      <c r="B63" s="2">
        <v>62</v>
      </c>
      <c r="C63" t="s">
        <v>25</v>
      </c>
      <c r="D63" t="s">
        <v>77</v>
      </c>
      <c r="E63" s="3">
        <v>0</v>
      </c>
      <c r="F63" s="3">
        <v>380164</v>
      </c>
      <c r="G63" s="3">
        <v>184936</v>
      </c>
      <c r="H63" s="3">
        <v>344494</v>
      </c>
      <c r="I63" s="3">
        <v>431301</v>
      </c>
      <c r="J63" s="3">
        <v>123004</v>
      </c>
      <c r="K63" s="3">
        <v>1463899</v>
      </c>
    </row>
    <row r="64" spans="1:11" x14ac:dyDescent="0.25">
      <c r="A64" t="s">
        <v>1</v>
      </c>
      <c r="B64" s="2">
        <v>63</v>
      </c>
      <c r="C64" t="s">
        <v>25</v>
      </c>
      <c r="D64" t="s">
        <v>48</v>
      </c>
      <c r="E64" s="3">
        <v>0</v>
      </c>
      <c r="F64" s="3">
        <v>301735</v>
      </c>
      <c r="G64" s="3">
        <v>221685</v>
      </c>
      <c r="H64" s="3">
        <v>768577</v>
      </c>
      <c r="I64" s="3">
        <v>66190</v>
      </c>
      <c r="J64" s="3">
        <v>86286</v>
      </c>
      <c r="K64" s="3">
        <v>1444473</v>
      </c>
    </row>
    <row r="65" spans="1:11" x14ac:dyDescent="0.25">
      <c r="A65" t="s">
        <v>0</v>
      </c>
      <c r="B65" s="2">
        <v>64</v>
      </c>
      <c r="C65" t="s">
        <v>33</v>
      </c>
      <c r="D65" t="s">
        <v>34</v>
      </c>
      <c r="E65" s="3">
        <v>248746</v>
      </c>
      <c r="F65" s="3">
        <v>209284</v>
      </c>
      <c r="G65" s="3">
        <v>39952</v>
      </c>
      <c r="H65" s="3">
        <v>25885</v>
      </c>
      <c r="I65" s="3">
        <v>493432</v>
      </c>
      <c r="J65" s="3">
        <v>374248</v>
      </c>
      <c r="K65" s="3">
        <v>1391547</v>
      </c>
    </row>
    <row r="66" spans="1:11" x14ac:dyDescent="0.25">
      <c r="A66" t="s">
        <v>8</v>
      </c>
      <c r="B66" s="2">
        <v>65</v>
      </c>
      <c r="C66" t="s">
        <v>29</v>
      </c>
      <c r="D66" t="s">
        <v>77</v>
      </c>
      <c r="E66" s="3">
        <v>231094</v>
      </c>
      <c r="F66" s="3">
        <v>275859</v>
      </c>
      <c r="G66" s="3">
        <v>234267</v>
      </c>
      <c r="H66" s="3">
        <v>217631</v>
      </c>
      <c r="I66" s="3">
        <v>202817</v>
      </c>
      <c r="J66" s="3">
        <v>214501</v>
      </c>
      <c r="K66" s="3">
        <v>1376169</v>
      </c>
    </row>
    <row r="67" spans="1:11" x14ac:dyDescent="0.25">
      <c r="A67" t="s">
        <v>6</v>
      </c>
      <c r="B67" s="2">
        <v>66</v>
      </c>
      <c r="C67" t="s">
        <v>58</v>
      </c>
      <c r="D67" t="s">
        <v>59</v>
      </c>
      <c r="E67" s="3">
        <v>0</v>
      </c>
      <c r="F67" s="3">
        <v>0</v>
      </c>
      <c r="G67" s="3">
        <v>1012911</v>
      </c>
      <c r="H67" s="3">
        <v>0</v>
      </c>
      <c r="I67" s="3">
        <v>0</v>
      </c>
      <c r="J67" s="3">
        <v>341292</v>
      </c>
      <c r="K67" s="3">
        <v>1354203</v>
      </c>
    </row>
    <row r="68" spans="1:11" x14ac:dyDescent="0.25">
      <c r="A68" t="s">
        <v>4</v>
      </c>
      <c r="B68" s="2">
        <v>67</v>
      </c>
      <c r="C68" t="s">
        <v>35</v>
      </c>
      <c r="D68" t="s">
        <v>36</v>
      </c>
      <c r="E68" s="3">
        <v>268297</v>
      </c>
      <c r="F68" s="3">
        <v>170081</v>
      </c>
      <c r="G68" s="3">
        <v>198291</v>
      </c>
      <c r="H68" s="3">
        <v>153949</v>
      </c>
      <c r="I68" s="3">
        <v>247185</v>
      </c>
      <c r="J68" s="3">
        <v>271705</v>
      </c>
      <c r="K68" s="3">
        <v>1309508</v>
      </c>
    </row>
    <row r="69" spans="1:11" x14ac:dyDescent="0.25">
      <c r="A69" t="s">
        <v>3</v>
      </c>
      <c r="B69" s="2">
        <v>68</v>
      </c>
      <c r="C69" t="s">
        <v>33</v>
      </c>
      <c r="D69" t="s">
        <v>36</v>
      </c>
      <c r="E69" s="3">
        <v>64442</v>
      </c>
      <c r="F69" s="3">
        <v>89772</v>
      </c>
      <c r="G69" s="3">
        <v>47062</v>
      </c>
      <c r="H69" s="3">
        <v>397685</v>
      </c>
      <c r="I69" s="3">
        <v>285255</v>
      </c>
      <c r="J69" s="3">
        <v>411176</v>
      </c>
      <c r="K69" s="3">
        <v>1295392</v>
      </c>
    </row>
    <row r="70" spans="1:11" x14ac:dyDescent="0.25">
      <c r="A70" t="s">
        <v>7</v>
      </c>
      <c r="B70" s="2">
        <v>69</v>
      </c>
      <c r="C70" t="s">
        <v>81</v>
      </c>
      <c r="D70" t="s">
        <v>82</v>
      </c>
      <c r="E70" s="3">
        <v>0</v>
      </c>
      <c r="F70" s="3">
        <v>0</v>
      </c>
      <c r="G70" s="3">
        <v>0</v>
      </c>
      <c r="H70" s="3">
        <v>1184656</v>
      </c>
      <c r="I70" s="3">
        <v>70112</v>
      </c>
      <c r="J70" s="3">
        <v>0</v>
      </c>
      <c r="K70" s="3">
        <v>1254768</v>
      </c>
    </row>
    <row r="71" spans="1:11" x14ac:dyDescent="0.25">
      <c r="A71" t="s">
        <v>3</v>
      </c>
      <c r="B71" s="2">
        <v>70</v>
      </c>
      <c r="C71" t="s">
        <v>27</v>
      </c>
      <c r="D71" t="s">
        <v>28</v>
      </c>
      <c r="E71" s="3">
        <v>474258</v>
      </c>
      <c r="F71" s="3">
        <v>120418</v>
      </c>
      <c r="G71" s="3">
        <v>156210</v>
      </c>
      <c r="H71" s="3">
        <v>141816</v>
      </c>
      <c r="I71" s="3">
        <v>108489</v>
      </c>
      <c r="J71" s="3">
        <v>230053</v>
      </c>
      <c r="K71" s="3">
        <v>1231244</v>
      </c>
    </row>
    <row r="72" spans="1:11" x14ac:dyDescent="0.25">
      <c r="A72" t="s">
        <v>3</v>
      </c>
      <c r="B72" s="2">
        <v>71</v>
      </c>
      <c r="C72" t="s">
        <v>35</v>
      </c>
      <c r="D72" t="s">
        <v>56</v>
      </c>
      <c r="E72" s="3">
        <v>337470</v>
      </c>
      <c r="F72" s="3">
        <v>147690</v>
      </c>
      <c r="G72" s="3">
        <v>181176</v>
      </c>
      <c r="H72" s="3">
        <v>175467</v>
      </c>
      <c r="I72" s="3">
        <v>151217</v>
      </c>
      <c r="J72" s="3">
        <v>231537</v>
      </c>
      <c r="K72" s="3">
        <v>1224557</v>
      </c>
    </row>
    <row r="73" spans="1:11" x14ac:dyDescent="0.25">
      <c r="A73" t="s">
        <v>5</v>
      </c>
      <c r="B73" s="2">
        <v>72</v>
      </c>
      <c r="C73" t="s">
        <v>25</v>
      </c>
      <c r="D73" t="s">
        <v>78</v>
      </c>
      <c r="E73" s="3">
        <v>0</v>
      </c>
      <c r="F73" s="3">
        <v>0</v>
      </c>
      <c r="G73" s="3">
        <v>0</v>
      </c>
      <c r="H73" s="3">
        <v>463161</v>
      </c>
      <c r="I73" s="3">
        <v>442264</v>
      </c>
      <c r="J73" s="3">
        <v>309178</v>
      </c>
      <c r="K73" s="3">
        <v>1214603</v>
      </c>
    </row>
    <row r="74" spans="1:11" x14ac:dyDescent="0.25">
      <c r="A74" t="s">
        <v>7</v>
      </c>
      <c r="B74" s="2">
        <v>73</v>
      </c>
      <c r="C74" t="s">
        <v>60</v>
      </c>
      <c r="D74" t="s">
        <v>88</v>
      </c>
      <c r="E74" s="3">
        <v>0</v>
      </c>
      <c r="F74" s="3">
        <v>376055</v>
      </c>
      <c r="G74" s="3">
        <v>200998</v>
      </c>
      <c r="H74" s="3">
        <v>323870</v>
      </c>
      <c r="I74" s="3">
        <v>37577</v>
      </c>
      <c r="J74" s="3">
        <v>260507</v>
      </c>
      <c r="K74" s="3">
        <v>1199007</v>
      </c>
    </row>
    <row r="75" spans="1:11" x14ac:dyDescent="0.25">
      <c r="A75" t="s">
        <v>6</v>
      </c>
      <c r="B75" s="2">
        <v>74</v>
      </c>
      <c r="C75" t="s">
        <v>33</v>
      </c>
      <c r="D75" t="s">
        <v>48</v>
      </c>
      <c r="E75" s="3">
        <v>370881</v>
      </c>
      <c r="F75" s="3">
        <v>109302</v>
      </c>
      <c r="G75" s="3">
        <v>116754</v>
      </c>
      <c r="H75" s="3">
        <v>194225</v>
      </c>
      <c r="I75" s="3">
        <v>230842</v>
      </c>
      <c r="J75" s="3">
        <v>90086</v>
      </c>
      <c r="K75" s="3">
        <v>1112090</v>
      </c>
    </row>
    <row r="76" spans="1:11" x14ac:dyDescent="0.25">
      <c r="A76" t="s">
        <v>0</v>
      </c>
      <c r="B76" s="2">
        <v>75</v>
      </c>
      <c r="C76" t="s">
        <v>35</v>
      </c>
      <c r="D76" t="s">
        <v>36</v>
      </c>
      <c r="E76" s="3">
        <v>381587</v>
      </c>
      <c r="F76" s="3">
        <v>55851</v>
      </c>
      <c r="G76" s="3">
        <v>335337</v>
      </c>
      <c r="H76" s="3">
        <v>162000</v>
      </c>
      <c r="I76" s="3">
        <v>48357</v>
      </c>
      <c r="J76" s="3">
        <v>74693</v>
      </c>
      <c r="K76" s="3">
        <v>1057825</v>
      </c>
    </row>
    <row r="77" spans="1:11" x14ac:dyDescent="0.25">
      <c r="A77" t="s">
        <v>2</v>
      </c>
      <c r="B77" s="2">
        <v>76</v>
      </c>
      <c r="C77" t="s">
        <v>25</v>
      </c>
      <c r="D77" t="s">
        <v>56</v>
      </c>
      <c r="E77" s="3">
        <v>0</v>
      </c>
      <c r="F77" s="3">
        <v>171983</v>
      </c>
      <c r="G77" s="3">
        <v>162106</v>
      </c>
      <c r="H77" s="3">
        <v>130325</v>
      </c>
      <c r="I77" s="3">
        <v>138036</v>
      </c>
      <c r="J77" s="3">
        <v>448048</v>
      </c>
      <c r="K77" s="3">
        <v>1050498</v>
      </c>
    </row>
    <row r="78" spans="1:11" x14ac:dyDescent="0.25">
      <c r="A78" t="s">
        <v>8</v>
      </c>
      <c r="B78" s="2">
        <v>77</v>
      </c>
      <c r="C78" t="s">
        <v>25</v>
      </c>
      <c r="D78" t="s">
        <v>93</v>
      </c>
      <c r="E78" s="3">
        <v>0</v>
      </c>
      <c r="F78" s="3">
        <v>152918</v>
      </c>
      <c r="G78" s="3">
        <v>214831</v>
      </c>
      <c r="H78" s="3">
        <v>443260</v>
      </c>
      <c r="I78" s="3">
        <v>110868</v>
      </c>
      <c r="J78" s="3">
        <v>126293</v>
      </c>
      <c r="K78" s="3">
        <v>1048170</v>
      </c>
    </row>
    <row r="79" spans="1:11" x14ac:dyDescent="0.25">
      <c r="A79" t="s">
        <v>2</v>
      </c>
      <c r="B79" s="2">
        <v>78</v>
      </c>
      <c r="C79" t="s">
        <v>45</v>
      </c>
      <c r="D79" t="s">
        <v>36</v>
      </c>
      <c r="E79" s="3">
        <v>527723</v>
      </c>
      <c r="F79" s="3">
        <v>52136</v>
      </c>
      <c r="G79" s="3">
        <v>83524</v>
      </c>
      <c r="H79" s="3">
        <v>81409</v>
      </c>
      <c r="I79" s="3">
        <v>67477</v>
      </c>
      <c r="J79" s="3">
        <v>227979</v>
      </c>
      <c r="K79" s="3">
        <v>1040248</v>
      </c>
    </row>
    <row r="80" spans="1:11" x14ac:dyDescent="0.25">
      <c r="A80" t="s">
        <v>0</v>
      </c>
      <c r="B80" s="2">
        <v>79</v>
      </c>
      <c r="C80" t="s">
        <v>37</v>
      </c>
      <c r="D80" t="s">
        <v>38</v>
      </c>
      <c r="E80" s="3">
        <v>228482</v>
      </c>
      <c r="F80" s="3">
        <v>100013</v>
      </c>
      <c r="G80" s="3">
        <v>177380</v>
      </c>
      <c r="H80" s="3">
        <v>153963</v>
      </c>
      <c r="I80" s="3">
        <v>108394</v>
      </c>
      <c r="J80" s="3">
        <v>266252</v>
      </c>
      <c r="K80" s="3">
        <v>1034484</v>
      </c>
    </row>
    <row r="81" spans="1:11" x14ac:dyDescent="0.25">
      <c r="A81" t="s">
        <v>7</v>
      </c>
      <c r="B81" s="2">
        <v>80</v>
      </c>
      <c r="C81" t="s">
        <v>72</v>
      </c>
      <c r="D81" t="s">
        <v>89</v>
      </c>
      <c r="E81" s="3">
        <v>53316</v>
      </c>
      <c r="F81" s="3">
        <v>405715</v>
      </c>
      <c r="G81" s="3">
        <v>258804</v>
      </c>
      <c r="H81" s="3">
        <v>136523</v>
      </c>
      <c r="I81" s="3">
        <v>35294</v>
      </c>
      <c r="J81" s="3">
        <v>129433</v>
      </c>
      <c r="K81" s="3">
        <v>1019085</v>
      </c>
    </row>
    <row r="82" spans="1:11" x14ac:dyDescent="0.25">
      <c r="A82" t="s">
        <v>9</v>
      </c>
      <c r="B82" s="2">
        <v>81</v>
      </c>
      <c r="C82" t="s">
        <v>27</v>
      </c>
      <c r="D82" t="s">
        <v>93</v>
      </c>
      <c r="E82" s="3">
        <v>353927</v>
      </c>
      <c r="F82" s="3">
        <v>122336</v>
      </c>
      <c r="G82" s="3">
        <v>115902</v>
      </c>
      <c r="H82" s="3">
        <v>138594</v>
      </c>
      <c r="I82" s="3">
        <v>63322</v>
      </c>
      <c r="J82" s="3">
        <v>215451</v>
      </c>
      <c r="K82" s="3">
        <v>1009532</v>
      </c>
    </row>
    <row r="83" spans="1:11" x14ac:dyDescent="0.25">
      <c r="A83" t="s">
        <v>7</v>
      </c>
      <c r="B83" s="2">
        <v>82</v>
      </c>
      <c r="C83" t="s">
        <v>35</v>
      </c>
      <c r="D83" t="s">
        <v>24</v>
      </c>
      <c r="E83" s="3">
        <v>482687</v>
      </c>
      <c r="F83" s="3">
        <v>324635</v>
      </c>
      <c r="G83" s="3">
        <v>73671</v>
      </c>
      <c r="H83" s="3">
        <v>83111</v>
      </c>
      <c r="I83" s="3">
        <v>2414</v>
      </c>
      <c r="J83" s="3">
        <v>36737</v>
      </c>
      <c r="K83" s="3">
        <v>1003255</v>
      </c>
    </row>
    <row r="84" spans="1:11" x14ac:dyDescent="0.25">
      <c r="A84" t="s">
        <v>8</v>
      </c>
      <c r="B84" s="2">
        <v>83</v>
      </c>
      <c r="C84" t="s">
        <v>31</v>
      </c>
      <c r="D84" t="s">
        <v>26</v>
      </c>
      <c r="E84" s="3">
        <v>475313</v>
      </c>
      <c r="F84" s="3">
        <v>168780</v>
      </c>
      <c r="G84" s="3">
        <v>79387</v>
      </c>
      <c r="H84" s="3">
        <v>179403</v>
      </c>
      <c r="I84" s="3">
        <v>44962</v>
      </c>
      <c r="J84" s="3">
        <v>39204</v>
      </c>
      <c r="K84" s="3">
        <v>987049</v>
      </c>
    </row>
    <row r="85" spans="1:11" x14ac:dyDescent="0.25">
      <c r="A85" t="s">
        <v>4</v>
      </c>
      <c r="B85" s="2">
        <v>84</v>
      </c>
      <c r="C85" t="s">
        <v>33</v>
      </c>
      <c r="D85" t="s">
        <v>42</v>
      </c>
      <c r="E85" s="3">
        <v>96384</v>
      </c>
      <c r="F85" s="3">
        <v>150493</v>
      </c>
      <c r="G85" s="3">
        <v>190373</v>
      </c>
      <c r="H85" s="3">
        <v>100159</v>
      </c>
      <c r="I85" s="3">
        <v>169446</v>
      </c>
      <c r="J85" s="3">
        <v>276028</v>
      </c>
      <c r="K85" s="3">
        <v>982883</v>
      </c>
    </row>
    <row r="86" spans="1:11" x14ac:dyDescent="0.25">
      <c r="A86" t="s">
        <v>0</v>
      </c>
      <c r="B86" s="2">
        <v>85</v>
      </c>
      <c r="C86" t="s">
        <v>39</v>
      </c>
      <c r="D86" t="s">
        <v>40</v>
      </c>
      <c r="E86" s="3">
        <v>201927</v>
      </c>
      <c r="F86" s="3">
        <v>89387</v>
      </c>
      <c r="G86" s="3">
        <v>62672</v>
      </c>
      <c r="H86" s="3">
        <v>192575</v>
      </c>
      <c r="I86" s="3">
        <v>344362</v>
      </c>
      <c r="J86" s="3">
        <v>52324</v>
      </c>
      <c r="K86" s="3">
        <v>943247</v>
      </c>
    </row>
    <row r="87" spans="1:11" x14ac:dyDescent="0.25">
      <c r="A87" t="s">
        <v>6</v>
      </c>
      <c r="B87" s="2">
        <v>86</v>
      </c>
      <c r="C87" t="s">
        <v>60</v>
      </c>
      <c r="D87" t="s">
        <v>36</v>
      </c>
      <c r="E87" s="3">
        <v>121158</v>
      </c>
      <c r="F87" s="3">
        <v>63337</v>
      </c>
      <c r="G87" s="3">
        <v>77000</v>
      </c>
      <c r="H87" s="3">
        <v>35559</v>
      </c>
      <c r="I87" s="3">
        <v>552384</v>
      </c>
      <c r="J87" s="3">
        <v>46200</v>
      </c>
      <c r="K87" s="3">
        <v>895638</v>
      </c>
    </row>
    <row r="88" spans="1:11" x14ac:dyDescent="0.25">
      <c r="A88" t="s">
        <v>1</v>
      </c>
      <c r="B88" s="2">
        <v>87</v>
      </c>
      <c r="C88" t="s">
        <v>41</v>
      </c>
      <c r="D88" t="s">
        <v>40</v>
      </c>
      <c r="E88" s="3">
        <v>283163</v>
      </c>
      <c r="F88" s="3">
        <v>63073</v>
      </c>
      <c r="G88" s="3">
        <v>33935</v>
      </c>
      <c r="H88" s="3">
        <v>164406</v>
      </c>
      <c r="I88" s="3">
        <v>189025</v>
      </c>
      <c r="J88" s="3">
        <v>136246</v>
      </c>
      <c r="K88" s="3">
        <v>869848</v>
      </c>
    </row>
    <row r="89" spans="1:11" x14ac:dyDescent="0.25">
      <c r="A89" t="s">
        <v>9</v>
      </c>
      <c r="B89" s="2">
        <v>88</v>
      </c>
      <c r="C89" t="s">
        <v>33</v>
      </c>
      <c r="D89" t="s">
        <v>89</v>
      </c>
      <c r="E89" s="3">
        <v>243413</v>
      </c>
      <c r="F89" s="3">
        <v>90993</v>
      </c>
      <c r="G89" s="3">
        <v>34153</v>
      </c>
      <c r="H89" s="3">
        <v>70000</v>
      </c>
      <c r="I89" s="3">
        <v>323843</v>
      </c>
      <c r="J89" s="3">
        <v>100735</v>
      </c>
      <c r="K89" s="3">
        <v>863137</v>
      </c>
    </row>
    <row r="90" spans="1:11" x14ac:dyDescent="0.25">
      <c r="A90" t="s">
        <v>9</v>
      </c>
      <c r="B90" s="2">
        <v>89</v>
      </c>
      <c r="C90" t="s">
        <v>35</v>
      </c>
      <c r="D90" t="s">
        <v>56</v>
      </c>
      <c r="E90" s="3">
        <v>292790</v>
      </c>
      <c r="F90" s="3">
        <v>89038</v>
      </c>
      <c r="G90" s="3">
        <v>208083</v>
      </c>
      <c r="H90" s="3">
        <v>92222</v>
      </c>
      <c r="I90" s="3">
        <v>58660</v>
      </c>
      <c r="J90" s="3">
        <v>120384</v>
      </c>
      <c r="K90" s="3">
        <v>861177</v>
      </c>
    </row>
    <row r="91" spans="1:11" x14ac:dyDescent="0.25">
      <c r="A91" t="s">
        <v>1</v>
      </c>
      <c r="B91" s="2">
        <v>90</v>
      </c>
      <c r="C91" t="s">
        <v>33</v>
      </c>
      <c r="D91" t="s">
        <v>38</v>
      </c>
      <c r="E91" s="3">
        <v>268103</v>
      </c>
      <c r="F91" s="3">
        <v>82171</v>
      </c>
      <c r="G91" s="3">
        <v>101150</v>
      </c>
      <c r="H91" s="3">
        <v>137237</v>
      </c>
      <c r="I91" s="3">
        <v>147766</v>
      </c>
      <c r="J91" s="3">
        <v>118818</v>
      </c>
      <c r="K91" s="3">
        <v>855245</v>
      </c>
    </row>
    <row r="92" spans="1:11" x14ac:dyDescent="0.25">
      <c r="A92" t="s">
        <v>7</v>
      </c>
      <c r="B92" s="2">
        <v>91</v>
      </c>
      <c r="C92" t="s">
        <v>33</v>
      </c>
      <c r="D92" t="s">
        <v>36</v>
      </c>
      <c r="E92" s="3">
        <v>327703</v>
      </c>
      <c r="F92" s="3">
        <v>266678</v>
      </c>
      <c r="G92" s="3">
        <v>76864</v>
      </c>
      <c r="H92" s="3">
        <v>68162</v>
      </c>
      <c r="I92" s="3">
        <v>90000</v>
      </c>
      <c r="J92" s="3">
        <v>23242</v>
      </c>
      <c r="K92" s="3">
        <v>852649</v>
      </c>
    </row>
    <row r="93" spans="1:11" x14ac:dyDescent="0.25">
      <c r="A93" t="s">
        <v>0</v>
      </c>
      <c r="B93" s="2">
        <v>92</v>
      </c>
      <c r="C93" t="s">
        <v>41</v>
      </c>
      <c r="D93" t="s">
        <v>42</v>
      </c>
      <c r="E93" s="3">
        <v>245802</v>
      </c>
      <c r="F93" s="3">
        <v>120107</v>
      </c>
      <c r="G93" s="3">
        <v>61481</v>
      </c>
      <c r="H93" s="3">
        <v>187541</v>
      </c>
      <c r="I93" s="3">
        <v>67016</v>
      </c>
      <c r="J93" s="3">
        <v>95092</v>
      </c>
      <c r="K93" s="3">
        <v>777039</v>
      </c>
    </row>
    <row r="94" spans="1:11" x14ac:dyDescent="0.25">
      <c r="A94" t="s">
        <v>5</v>
      </c>
      <c r="B94" s="2">
        <v>93</v>
      </c>
      <c r="C94" t="s">
        <v>25</v>
      </c>
      <c r="D94" t="s">
        <v>80</v>
      </c>
      <c r="E94" s="3">
        <v>0</v>
      </c>
      <c r="F94" s="3">
        <v>325087</v>
      </c>
      <c r="G94" s="3">
        <v>140065</v>
      </c>
      <c r="H94" s="3">
        <v>68874</v>
      </c>
      <c r="I94" s="3">
        <v>115345</v>
      </c>
      <c r="J94" s="3">
        <v>120281</v>
      </c>
      <c r="K94" s="3">
        <v>769652</v>
      </c>
    </row>
    <row r="95" spans="1:11" x14ac:dyDescent="0.25">
      <c r="A95" t="s">
        <v>2</v>
      </c>
      <c r="B95" s="2">
        <v>94</v>
      </c>
      <c r="C95" t="s">
        <v>37</v>
      </c>
      <c r="D95" t="s">
        <v>30</v>
      </c>
      <c r="E95" s="3">
        <v>288846</v>
      </c>
      <c r="F95" s="3">
        <v>0</v>
      </c>
      <c r="G95" s="3">
        <v>100488</v>
      </c>
      <c r="H95" s="3">
        <v>148155</v>
      </c>
      <c r="I95" s="3">
        <v>231835</v>
      </c>
      <c r="J95" s="3">
        <v>0</v>
      </c>
      <c r="K95" s="3">
        <v>769324</v>
      </c>
    </row>
    <row r="96" spans="1:11" x14ac:dyDescent="0.25">
      <c r="A96" t="s">
        <v>8</v>
      </c>
      <c r="B96" s="2">
        <v>95</v>
      </c>
      <c r="C96" t="s">
        <v>37</v>
      </c>
      <c r="D96" t="s">
        <v>89</v>
      </c>
      <c r="E96" s="3">
        <v>111111</v>
      </c>
      <c r="F96" s="3">
        <v>70786</v>
      </c>
      <c r="G96" s="3">
        <v>183562</v>
      </c>
      <c r="H96" s="3">
        <v>58444</v>
      </c>
      <c r="I96" s="3">
        <v>13647</v>
      </c>
      <c r="J96" s="3">
        <v>320000</v>
      </c>
      <c r="K96" s="3">
        <v>757550</v>
      </c>
    </row>
    <row r="97" spans="1:11" x14ac:dyDescent="0.25">
      <c r="A97" t="s">
        <v>6</v>
      </c>
      <c r="B97" s="2">
        <v>96</v>
      </c>
      <c r="C97" t="s">
        <v>60</v>
      </c>
      <c r="D97" t="s">
        <v>74</v>
      </c>
      <c r="E97" s="3">
        <v>201396</v>
      </c>
      <c r="F97" s="3">
        <v>118609</v>
      </c>
      <c r="G97" s="3">
        <v>55393</v>
      </c>
      <c r="H97" s="3">
        <v>86653</v>
      </c>
      <c r="I97" s="3">
        <v>200027</v>
      </c>
      <c r="J97" s="3">
        <v>43000</v>
      </c>
      <c r="K97" s="3">
        <v>705078</v>
      </c>
    </row>
    <row r="98" spans="1:11" x14ac:dyDescent="0.25">
      <c r="A98" t="s">
        <v>1</v>
      </c>
      <c r="B98" s="2">
        <v>97</v>
      </c>
      <c r="C98" t="s">
        <v>25</v>
      </c>
      <c r="D98" t="s">
        <v>49</v>
      </c>
      <c r="E98" s="3">
        <v>0</v>
      </c>
      <c r="F98" s="3">
        <v>185131</v>
      </c>
      <c r="G98" s="3">
        <v>136669</v>
      </c>
      <c r="H98" s="3">
        <v>274878</v>
      </c>
      <c r="I98" s="3">
        <v>7237</v>
      </c>
      <c r="J98" s="3">
        <v>99440</v>
      </c>
      <c r="K98" s="3">
        <v>703355</v>
      </c>
    </row>
    <row r="99" spans="1:11" x14ac:dyDescent="0.25">
      <c r="A99" t="s">
        <v>2</v>
      </c>
      <c r="B99" s="2">
        <v>98</v>
      </c>
      <c r="C99" t="s">
        <v>39</v>
      </c>
      <c r="D99" t="s">
        <v>40</v>
      </c>
      <c r="E99" s="3">
        <v>455663</v>
      </c>
      <c r="F99" s="3">
        <v>117634</v>
      </c>
      <c r="G99" s="3">
        <v>35134</v>
      </c>
      <c r="H99" s="3">
        <v>32992</v>
      </c>
      <c r="I99" s="3">
        <v>48237</v>
      </c>
      <c r="J99" s="3">
        <v>0</v>
      </c>
      <c r="K99" s="3">
        <v>689660</v>
      </c>
    </row>
    <row r="100" spans="1:11" x14ac:dyDescent="0.25">
      <c r="A100" t="s">
        <v>4</v>
      </c>
      <c r="B100" s="2">
        <v>99</v>
      </c>
      <c r="C100" t="s">
        <v>58</v>
      </c>
      <c r="D100" t="s">
        <v>59</v>
      </c>
      <c r="E100" s="3">
        <v>0</v>
      </c>
      <c r="F100" s="3">
        <v>324039</v>
      </c>
      <c r="G100" s="3">
        <v>0</v>
      </c>
      <c r="H100" s="3">
        <v>359629</v>
      </c>
      <c r="I100" s="3">
        <v>0</v>
      </c>
      <c r="J100" s="3">
        <v>0</v>
      </c>
      <c r="K100" s="3">
        <v>683668</v>
      </c>
    </row>
    <row r="101" spans="1:11" x14ac:dyDescent="0.25">
      <c r="A101" t="s">
        <v>9</v>
      </c>
      <c r="B101" s="2">
        <v>100</v>
      </c>
      <c r="C101" t="s">
        <v>41</v>
      </c>
      <c r="D101" t="s">
        <v>88</v>
      </c>
      <c r="E101" s="3">
        <v>153723</v>
      </c>
      <c r="F101" s="3">
        <v>134881</v>
      </c>
      <c r="G101" s="3">
        <v>116973</v>
      </c>
      <c r="H101" s="3">
        <v>65144</v>
      </c>
      <c r="I101" s="3">
        <v>119780</v>
      </c>
      <c r="J101" s="3">
        <v>87559</v>
      </c>
      <c r="K101" s="3">
        <v>678060</v>
      </c>
    </row>
    <row r="102" spans="1:11" x14ac:dyDescent="0.25">
      <c r="A102" t="s">
        <v>8</v>
      </c>
      <c r="B102" s="2">
        <v>101</v>
      </c>
      <c r="C102" t="s">
        <v>33</v>
      </c>
      <c r="D102" t="s">
        <v>88</v>
      </c>
      <c r="E102" s="3">
        <v>175886</v>
      </c>
      <c r="F102" s="3">
        <v>260065</v>
      </c>
      <c r="G102" s="3">
        <v>103667</v>
      </c>
      <c r="H102" s="3">
        <v>56825</v>
      </c>
      <c r="I102" s="3">
        <v>27982</v>
      </c>
      <c r="J102" s="3">
        <v>45591</v>
      </c>
      <c r="K102" s="3">
        <v>670016</v>
      </c>
    </row>
    <row r="103" spans="1:11" x14ac:dyDescent="0.25">
      <c r="A103" t="s">
        <v>6</v>
      </c>
      <c r="B103" s="2">
        <v>102</v>
      </c>
      <c r="C103" t="s">
        <v>37</v>
      </c>
      <c r="D103" t="s">
        <v>80</v>
      </c>
      <c r="E103" s="3">
        <v>292833</v>
      </c>
      <c r="F103" s="3">
        <v>142710</v>
      </c>
      <c r="G103" s="3">
        <v>69601</v>
      </c>
      <c r="H103" s="3">
        <v>58056</v>
      </c>
      <c r="I103" s="3">
        <v>56655</v>
      </c>
      <c r="J103" s="3">
        <v>0</v>
      </c>
      <c r="K103" s="3">
        <v>619855</v>
      </c>
    </row>
    <row r="104" spans="1:11" x14ac:dyDescent="0.25">
      <c r="A104" t="s">
        <v>4</v>
      </c>
      <c r="B104" s="2">
        <v>103</v>
      </c>
      <c r="C104" t="s">
        <v>41</v>
      </c>
      <c r="D104" t="s">
        <v>68</v>
      </c>
      <c r="E104" s="3">
        <v>53703</v>
      </c>
      <c r="F104" s="3">
        <v>32859</v>
      </c>
      <c r="G104" s="3">
        <v>25217</v>
      </c>
      <c r="H104" s="3">
        <v>60155</v>
      </c>
      <c r="I104" s="3">
        <v>53819</v>
      </c>
      <c r="J104" s="3">
        <v>375906</v>
      </c>
      <c r="K104" s="3">
        <v>601659</v>
      </c>
    </row>
    <row r="105" spans="1:11" x14ac:dyDescent="0.25">
      <c r="A105" t="s">
        <v>7</v>
      </c>
      <c r="B105" s="2">
        <v>104</v>
      </c>
      <c r="C105" t="s">
        <v>58</v>
      </c>
      <c r="D105" t="s">
        <v>59</v>
      </c>
      <c r="E105" s="3">
        <v>0</v>
      </c>
      <c r="F105" s="3">
        <v>0</v>
      </c>
      <c r="G105" s="3">
        <v>0</v>
      </c>
      <c r="H105" s="3">
        <v>330160</v>
      </c>
      <c r="I105" s="3">
        <v>260000</v>
      </c>
      <c r="J105" s="3">
        <v>0</v>
      </c>
      <c r="K105" s="3">
        <v>590160</v>
      </c>
    </row>
    <row r="106" spans="1:11" x14ac:dyDescent="0.25">
      <c r="A106" t="s">
        <v>9</v>
      </c>
      <c r="B106" s="2">
        <v>105</v>
      </c>
      <c r="C106" t="s">
        <v>25</v>
      </c>
      <c r="D106" t="s">
        <v>105</v>
      </c>
      <c r="E106" s="3">
        <v>0</v>
      </c>
      <c r="F106" s="3">
        <v>141217</v>
      </c>
      <c r="G106" s="3">
        <v>148980</v>
      </c>
      <c r="H106" s="3">
        <v>51930</v>
      </c>
      <c r="I106" s="3">
        <v>183924</v>
      </c>
      <c r="J106" s="3">
        <v>58123</v>
      </c>
      <c r="K106" s="3">
        <v>584174</v>
      </c>
    </row>
    <row r="107" spans="1:11" x14ac:dyDescent="0.25">
      <c r="A107" t="s">
        <v>1</v>
      </c>
      <c r="B107" s="2">
        <v>106</v>
      </c>
      <c r="C107" t="s">
        <v>43</v>
      </c>
      <c r="D107" t="s">
        <v>36</v>
      </c>
      <c r="E107" s="3">
        <v>93620</v>
      </c>
      <c r="F107" s="3">
        <v>56003</v>
      </c>
      <c r="G107" s="3">
        <v>48142</v>
      </c>
      <c r="H107" s="3">
        <v>36045</v>
      </c>
      <c r="I107" s="3">
        <v>180643</v>
      </c>
      <c r="J107" s="3">
        <v>161061</v>
      </c>
      <c r="K107" s="3">
        <v>575514</v>
      </c>
    </row>
    <row r="108" spans="1:11" x14ac:dyDescent="0.25">
      <c r="A108" t="s">
        <v>6</v>
      </c>
      <c r="B108" s="2">
        <v>107</v>
      </c>
      <c r="C108" t="s">
        <v>39</v>
      </c>
      <c r="D108" t="s">
        <v>42</v>
      </c>
      <c r="E108" s="3">
        <v>175422</v>
      </c>
      <c r="F108" s="3">
        <v>46272</v>
      </c>
      <c r="G108" s="3">
        <v>53640</v>
      </c>
      <c r="H108" s="3">
        <v>127488</v>
      </c>
      <c r="I108" s="3">
        <v>110366</v>
      </c>
      <c r="J108" s="3">
        <v>60000</v>
      </c>
      <c r="K108" s="3">
        <v>573188</v>
      </c>
    </row>
    <row r="109" spans="1:11" x14ac:dyDescent="0.25">
      <c r="A109" t="s">
        <v>8</v>
      </c>
      <c r="B109" s="2">
        <v>108</v>
      </c>
      <c r="C109" t="s">
        <v>94</v>
      </c>
      <c r="D109" t="s">
        <v>67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537051</v>
      </c>
      <c r="K109" s="3">
        <v>537051</v>
      </c>
    </row>
    <row r="110" spans="1:11" x14ac:dyDescent="0.25">
      <c r="A110" t="s">
        <v>0</v>
      </c>
      <c r="B110" s="2">
        <v>109</v>
      </c>
      <c r="C110" t="s">
        <v>43</v>
      </c>
      <c r="D110" t="s">
        <v>44</v>
      </c>
      <c r="E110" s="3">
        <v>117641</v>
      </c>
      <c r="F110" s="3">
        <v>74140</v>
      </c>
      <c r="G110" s="3">
        <v>93164</v>
      </c>
      <c r="H110" s="3">
        <v>155412</v>
      </c>
      <c r="I110" s="3">
        <v>30841</v>
      </c>
      <c r="J110" s="3">
        <v>65657</v>
      </c>
      <c r="K110" s="3">
        <v>536855</v>
      </c>
    </row>
    <row r="111" spans="1:11" x14ac:dyDescent="0.25">
      <c r="A111" t="s">
        <v>5</v>
      </c>
      <c r="B111" s="2">
        <v>110</v>
      </c>
      <c r="C111" t="s">
        <v>79</v>
      </c>
      <c r="D111" t="s">
        <v>74</v>
      </c>
      <c r="E111" s="3">
        <v>100259</v>
      </c>
      <c r="F111" s="3">
        <v>183423</v>
      </c>
      <c r="G111" s="3">
        <v>1210</v>
      </c>
      <c r="H111" s="3">
        <v>53440</v>
      </c>
      <c r="I111" s="3">
        <v>125959</v>
      </c>
      <c r="J111" s="3">
        <v>46505</v>
      </c>
      <c r="K111" s="3">
        <v>510796</v>
      </c>
    </row>
    <row r="112" spans="1:11" x14ac:dyDescent="0.25">
      <c r="A112" t="s">
        <v>9</v>
      </c>
      <c r="B112" s="2">
        <v>111</v>
      </c>
      <c r="C112" t="s">
        <v>60</v>
      </c>
      <c r="D112" t="s">
        <v>36</v>
      </c>
      <c r="E112" s="3">
        <v>217561</v>
      </c>
      <c r="F112" s="3">
        <v>44244</v>
      </c>
      <c r="G112" s="3">
        <v>64293</v>
      </c>
      <c r="H112" s="3">
        <v>97130</v>
      </c>
      <c r="I112" s="3">
        <v>25888</v>
      </c>
      <c r="J112" s="3">
        <v>60000</v>
      </c>
      <c r="K112" s="3">
        <v>509116</v>
      </c>
    </row>
    <row r="113" spans="1:11" x14ac:dyDescent="0.25">
      <c r="A113" t="s">
        <v>3</v>
      </c>
      <c r="B113" s="2">
        <v>112</v>
      </c>
      <c r="C113" t="s">
        <v>29</v>
      </c>
      <c r="D113" t="s">
        <v>42</v>
      </c>
      <c r="E113" s="3">
        <v>154970</v>
      </c>
      <c r="F113" s="3">
        <v>43143</v>
      </c>
      <c r="G113" s="3">
        <v>95729</v>
      </c>
      <c r="H113" s="3">
        <v>65148</v>
      </c>
      <c r="I113" s="3">
        <v>70544</v>
      </c>
      <c r="J113" s="3">
        <v>78947</v>
      </c>
      <c r="K113" s="3">
        <v>508481</v>
      </c>
    </row>
    <row r="114" spans="1:11" x14ac:dyDescent="0.25">
      <c r="A114" t="s">
        <v>6</v>
      </c>
      <c r="B114" s="2">
        <v>113</v>
      </c>
      <c r="C114" t="s">
        <v>25</v>
      </c>
      <c r="D114" t="s">
        <v>26</v>
      </c>
      <c r="E114" s="3">
        <v>0</v>
      </c>
      <c r="F114" s="3">
        <v>203412</v>
      </c>
      <c r="G114" s="3">
        <v>42841</v>
      </c>
      <c r="H114" s="3">
        <v>130772</v>
      </c>
      <c r="I114" s="3">
        <v>92789</v>
      </c>
      <c r="J114" s="3">
        <v>35156</v>
      </c>
      <c r="K114" s="3">
        <v>504970</v>
      </c>
    </row>
    <row r="115" spans="1:11" x14ac:dyDescent="0.25">
      <c r="A115" t="s">
        <v>9</v>
      </c>
      <c r="B115" s="2">
        <v>114</v>
      </c>
      <c r="C115" t="s">
        <v>37</v>
      </c>
      <c r="D115" t="s">
        <v>91</v>
      </c>
      <c r="E115" s="3">
        <v>216364</v>
      </c>
      <c r="F115" s="3">
        <v>66097</v>
      </c>
      <c r="G115" s="3">
        <v>24609</v>
      </c>
      <c r="H115" s="3">
        <v>57100</v>
      </c>
      <c r="I115" s="3">
        <v>34391</v>
      </c>
      <c r="J115" s="3">
        <v>102500</v>
      </c>
      <c r="K115" s="3">
        <v>501061</v>
      </c>
    </row>
    <row r="116" spans="1:11" x14ac:dyDescent="0.25">
      <c r="A116" t="s">
        <v>8</v>
      </c>
      <c r="B116" s="2">
        <v>115</v>
      </c>
      <c r="C116" t="s">
        <v>60</v>
      </c>
      <c r="D116" t="s">
        <v>91</v>
      </c>
      <c r="E116" s="3">
        <v>100000</v>
      </c>
      <c r="F116" s="3">
        <v>115264</v>
      </c>
      <c r="G116" s="3">
        <v>95218</v>
      </c>
      <c r="H116" s="3">
        <v>105935</v>
      </c>
      <c r="I116" s="3">
        <v>40187</v>
      </c>
      <c r="J116" s="3">
        <v>42633</v>
      </c>
      <c r="K116" s="3">
        <v>499237</v>
      </c>
    </row>
    <row r="117" spans="1:11" x14ac:dyDescent="0.25">
      <c r="A117" t="s">
        <v>5</v>
      </c>
      <c r="B117" s="2">
        <v>116</v>
      </c>
      <c r="C117" t="s">
        <v>41</v>
      </c>
      <c r="D117" t="s">
        <v>36</v>
      </c>
      <c r="E117" s="3">
        <v>52365</v>
      </c>
      <c r="F117" s="3">
        <v>201824</v>
      </c>
      <c r="G117" s="3">
        <v>83333</v>
      </c>
      <c r="H117" s="3">
        <v>12955</v>
      </c>
      <c r="I117" s="3">
        <v>102691</v>
      </c>
      <c r="J117" s="3">
        <v>43600</v>
      </c>
      <c r="K117" s="3">
        <v>496768</v>
      </c>
    </row>
    <row r="118" spans="1:11" x14ac:dyDescent="0.25">
      <c r="A118" t="s">
        <v>6</v>
      </c>
      <c r="B118" s="2">
        <v>117</v>
      </c>
      <c r="C118" t="s">
        <v>84</v>
      </c>
      <c r="D118" t="s">
        <v>85</v>
      </c>
      <c r="E118" s="3">
        <v>0</v>
      </c>
      <c r="F118" s="3">
        <v>0</v>
      </c>
      <c r="G118" s="3">
        <v>0</v>
      </c>
      <c r="H118" s="3">
        <v>179529</v>
      </c>
      <c r="I118" s="3">
        <v>265310</v>
      </c>
      <c r="J118" s="3">
        <v>36503</v>
      </c>
      <c r="K118" s="3">
        <v>481342</v>
      </c>
    </row>
    <row r="119" spans="1:11" x14ac:dyDescent="0.25">
      <c r="A119" t="s">
        <v>9</v>
      </c>
      <c r="B119" s="2">
        <v>118</v>
      </c>
      <c r="C119" t="s">
        <v>58</v>
      </c>
      <c r="D119" t="s">
        <v>59</v>
      </c>
      <c r="E119" s="3">
        <v>0</v>
      </c>
      <c r="F119" s="3">
        <v>50428</v>
      </c>
      <c r="G119" s="3">
        <v>0</v>
      </c>
      <c r="H119" s="3">
        <v>293447</v>
      </c>
      <c r="I119" s="3">
        <v>0</v>
      </c>
      <c r="J119" s="3">
        <v>100103</v>
      </c>
      <c r="K119" s="3">
        <v>443978</v>
      </c>
    </row>
    <row r="120" spans="1:11" x14ac:dyDescent="0.25">
      <c r="A120" t="s">
        <v>4</v>
      </c>
      <c r="B120" s="2">
        <v>119</v>
      </c>
      <c r="C120" t="s">
        <v>25</v>
      </c>
      <c r="D120" t="s">
        <v>71</v>
      </c>
      <c r="E120" s="3">
        <v>0</v>
      </c>
      <c r="F120" s="3">
        <v>0</v>
      </c>
      <c r="G120" s="3">
        <v>252873</v>
      </c>
      <c r="H120" s="3">
        <v>64000</v>
      </c>
      <c r="I120" s="3">
        <v>57070</v>
      </c>
      <c r="J120" s="3">
        <v>68623</v>
      </c>
      <c r="K120" s="3">
        <v>442566</v>
      </c>
    </row>
    <row r="121" spans="1:11" x14ac:dyDescent="0.25">
      <c r="A121" t="s">
        <v>2</v>
      </c>
      <c r="B121" s="2">
        <v>120</v>
      </c>
      <c r="C121" t="s">
        <v>57</v>
      </c>
      <c r="D121" t="s">
        <v>38</v>
      </c>
      <c r="E121" s="3">
        <v>440021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440021</v>
      </c>
    </row>
    <row r="122" spans="1:11" x14ac:dyDescent="0.25">
      <c r="A122" t="s">
        <v>2</v>
      </c>
      <c r="B122" s="2">
        <v>121</v>
      </c>
      <c r="C122" t="s">
        <v>58</v>
      </c>
      <c r="D122" t="s">
        <v>59</v>
      </c>
      <c r="E122" s="3">
        <v>0</v>
      </c>
      <c r="F122" s="3">
        <v>0</v>
      </c>
      <c r="G122" s="3">
        <v>426025</v>
      </c>
      <c r="H122" s="3">
        <v>0</v>
      </c>
      <c r="I122" s="3">
        <v>0</v>
      </c>
      <c r="J122" s="3">
        <v>0</v>
      </c>
      <c r="K122" s="3">
        <v>426025</v>
      </c>
    </row>
    <row r="123" spans="1:11" x14ac:dyDescent="0.25">
      <c r="A123" t="s">
        <v>8</v>
      </c>
      <c r="B123" s="2">
        <v>122</v>
      </c>
      <c r="C123" t="s">
        <v>60</v>
      </c>
      <c r="D123" t="s">
        <v>36</v>
      </c>
      <c r="E123" s="3">
        <v>65317</v>
      </c>
      <c r="F123" s="3">
        <v>175935</v>
      </c>
      <c r="G123" s="3">
        <v>63089</v>
      </c>
      <c r="H123" s="3">
        <v>38548</v>
      </c>
      <c r="I123" s="3">
        <v>15709</v>
      </c>
      <c r="J123" s="3">
        <v>18084</v>
      </c>
      <c r="K123" s="3">
        <v>376682</v>
      </c>
    </row>
    <row r="124" spans="1:11" x14ac:dyDescent="0.25">
      <c r="A124" t="s">
        <v>8</v>
      </c>
      <c r="B124" s="2">
        <v>123</v>
      </c>
      <c r="C124" t="s">
        <v>39</v>
      </c>
      <c r="D124" t="s">
        <v>24</v>
      </c>
      <c r="E124" s="3">
        <v>368410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368410</v>
      </c>
    </row>
    <row r="125" spans="1:11" x14ac:dyDescent="0.25">
      <c r="A125" t="s">
        <v>3</v>
      </c>
      <c r="B125" s="2">
        <v>124</v>
      </c>
      <c r="C125" t="s">
        <v>66</v>
      </c>
      <c r="D125" t="s">
        <v>67</v>
      </c>
      <c r="E125" s="3">
        <v>0</v>
      </c>
      <c r="F125" s="3">
        <v>362897</v>
      </c>
      <c r="G125" s="3">
        <v>0</v>
      </c>
      <c r="H125" s="3">
        <v>0</v>
      </c>
      <c r="I125" s="3">
        <v>0</v>
      </c>
      <c r="J125" s="3">
        <v>0</v>
      </c>
      <c r="K125" s="3">
        <v>362897</v>
      </c>
    </row>
    <row r="126" spans="1:11" x14ac:dyDescent="0.25">
      <c r="A126" t="s">
        <v>4</v>
      </c>
      <c r="B126" s="2">
        <v>125</v>
      </c>
      <c r="C126" t="s">
        <v>72</v>
      </c>
      <c r="D126" t="s">
        <v>73</v>
      </c>
      <c r="E126" s="3">
        <v>34213</v>
      </c>
      <c r="F126" s="3">
        <v>113493</v>
      </c>
      <c r="G126" s="3">
        <v>57057</v>
      </c>
      <c r="H126" s="3">
        <v>61201</v>
      </c>
      <c r="I126" s="3">
        <v>30004</v>
      </c>
      <c r="J126" s="3">
        <v>52373</v>
      </c>
      <c r="K126" s="3">
        <v>348341</v>
      </c>
    </row>
    <row r="127" spans="1:11" x14ac:dyDescent="0.25">
      <c r="A127" t="s">
        <v>2</v>
      </c>
      <c r="B127" s="2">
        <v>126</v>
      </c>
      <c r="C127" t="s">
        <v>53</v>
      </c>
      <c r="D127" t="s">
        <v>49</v>
      </c>
      <c r="E127" s="3">
        <v>341917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341917</v>
      </c>
    </row>
    <row r="128" spans="1:11" x14ac:dyDescent="0.25">
      <c r="A128" t="s">
        <v>8</v>
      </c>
      <c r="B128" s="2">
        <v>127</v>
      </c>
      <c r="C128" t="s">
        <v>94</v>
      </c>
      <c r="D128" t="s">
        <v>95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340432</v>
      </c>
      <c r="K128" s="3">
        <v>340432</v>
      </c>
    </row>
    <row r="129" spans="1:11" x14ac:dyDescent="0.25">
      <c r="A129" t="s">
        <v>3</v>
      </c>
      <c r="B129" s="2">
        <v>128</v>
      </c>
      <c r="C129" t="s">
        <v>41</v>
      </c>
      <c r="D129" t="s">
        <v>61</v>
      </c>
      <c r="E129" s="3">
        <v>134829</v>
      </c>
      <c r="F129" s="3">
        <v>51131</v>
      </c>
      <c r="G129" s="3">
        <v>45555</v>
      </c>
      <c r="H129" s="3">
        <v>73880</v>
      </c>
      <c r="I129" s="3">
        <v>31318</v>
      </c>
      <c r="J129" s="3">
        <v>1005</v>
      </c>
      <c r="K129" s="3">
        <v>337718</v>
      </c>
    </row>
    <row r="130" spans="1:11" x14ac:dyDescent="0.25">
      <c r="A130" t="s">
        <v>3</v>
      </c>
      <c r="B130" s="2">
        <v>129</v>
      </c>
      <c r="C130" t="s">
        <v>58</v>
      </c>
      <c r="D130" t="s">
        <v>59</v>
      </c>
      <c r="E130" s="3">
        <v>0</v>
      </c>
      <c r="F130" s="3">
        <v>172942</v>
      </c>
      <c r="G130" s="3">
        <v>0</v>
      </c>
      <c r="H130" s="3">
        <v>0</v>
      </c>
      <c r="I130" s="3">
        <v>0</v>
      </c>
      <c r="J130" s="3">
        <v>161193</v>
      </c>
      <c r="K130" s="3">
        <v>334135</v>
      </c>
    </row>
    <row r="131" spans="1:11" x14ac:dyDescent="0.25">
      <c r="A131" t="s">
        <v>7</v>
      </c>
      <c r="B131" s="2">
        <v>130</v>
      </c>
      <c r="C131" t="s">
        <v>39</v>
      </c>
      <c r="D131" t="s">
        <v>74</v>
      </c>
      <c r="E131" s="3">
        <v>323323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323323</v>
      </c>
    </row>
    <row r="132" spans="1:11" x14ac:dyDescent="0.25">
      <c r="A132" t="s">
        <v>8</v>
      </c>
      <c r="B132" s="2">
        <v>131</v>
      </c>
      <c r="C132" t="s">
        <v>94</v>
      </c>
      <c r="D132" t="s">
        <v>96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320000</v>
      </c>
      <c r="K132" s="3">
        <v>320000</v>
      </c>
    </row>
    <row r="133" spans="1:11" x14ac:dyDescent="0.25">
      <c r="A133" t="s">
        <v>3</v>
      </c>
      <c r="B133" s="2">
        <v>132</v>
      </c>
      <c r="C133" t="s">
        <v>25</v>
      </c>
      <c r="D133" t="s">
        <v>68</v>
      </c>
      <c r="E133" s="3">
        <v>0</v>
      </c>
      <c r="F133" s="3">
        <v>77449</v>
      </c>
      <c r="G133" s="3">
        <v>91508</v>
      </c>
      <c r="H133" s="3">
        <v>52388</v>
      </c>
      <c r="I133" s="3">
        <v>25690</v>
      </c>
      <c r="J133" s="3">
        <v>59317</v>
      </c>
      <c r="K133" s="3">
        <v>306352</v>
      </c>
    </row>
    <row r="134" spans="1:11" x14ac:dyDescent="0.25">
      <c r="A134" t="s">
        <v>7</v>
      </c>
      <c r="B134" s="2">
        <v>133</v>
      </c>
      <c r="C134" t="s">
        <v>25</v>
      </c>
      <c r="D134" t="s">
        <v>91</v>
      </c>
      <c r="E134" s="3">
        <v>0</v>
      </c>
      <c r="F134" s="3">
        <v>0</v>
      </c>
      <c r="G134" s="3">
        <v>0</v>
      </c>
      <c r="H134" s="3">
        <v>67828</v>
      </c>
      <c r="I134" s="3">
        <v>35388</v>
      </c>
      <c r="J134" s="3">
        <v>195641</v>
      </c>
      <c r="K134" s="3">
        <v>298857</v>
      </c>
    </row>
    <row r="135" spans="1:11" x14ac:dyDescent="0.25">
      <c r="A135" t="s">
        <v>4</v>
      </c>
      <c r="B135" s="2">
        <v>134</v>
      </c>
      <c r="C135" t="s">
        <v>25</v>
      </c>
      <c r="D135" t="s">
        <v>74</v>
      </c>
      <c r="E135" s="3">
        <v>0</v>
      </c>
      <c r="F135" s="3">
        <v>0</v>
      </c>
      <c r="G135" s="3">
        <v>100171</v>
      </c>
      <c r="H135" s="3">
        <v>93398</v>
      </c>
      <c r="I135" s="3">
        <v>44679</v>
      </c>
      <c r="J135" s="3">
        <v>53071</v>
      </c>
      <c r="K135" s="3">
        <v>291319</v>
      </c>
    </row>
    <row r="136" spans="1:11" x14ac:dyDescent="0.25">
      <c r="A136" t="s">
        <v>5</v>
      </c>
      <c r="B136" s="2">
        <v>135</v>
      </c>
      <c r="C136" t="s">
        <v>58</v>
      </c>
      <c r="D136" t="s">
        <v>59</v>
      </c>
      <c r="E136" s="3">
        <v>0</v>
      </c>
      <c r="F136" s="3">
        <v>0</v>
      </c>
      <c r="G136" s="3">
        <v>95000</v>
      </c>
      <c r="H136" s="3">
        <v>0</v>
      </c>
      <c r="I136" s="3">
        <v>0</v>
      </c>
      <c r="J136" s="3">
        <v>164620</v>
      </c>
      <c r="K136" s="3">
        <v>259620</v>
      </c>
    </row>
    <row r="137" spans="1:11" x14ac:dyDescent="0.25">
      <c r="A137" t="s">
        <v>6</v>
      </c>
      <c r="B137" s="2">
        <v>136</v>
      </c>
      <c r="C137" t="s">
        <v>25</v>
      </c>
      <c r="D137" t="s">
        <v>86</v>
      </c>
      <c r="E137" s="3">
        <v>0</v>
      </c>
      <c r="F137" s="3">
        <v>72777</v>
      </c>
      <c r="G137" s="3">
        <v>33287</v>
      </c>
      <c r="H137" s="3">
        <v>33800</v>
      </c>
      <c r="I137" s="3">
        <v>83993</v>
      </c>
      <c r="J137" s="3">
        <v>35027</v>
      </c>
      <c r="K137" s="3">
        <v>258884</v>
      </c>
    </row>
    <row r="138" spans="1:11" x14ac:dyDescent="0.25">
      <c r="A138" t="s">
        <v>0</v>
      </c>
      <c r="B138" s="2">
        <v>137</v>
      </c>
      <c r="C138" t="s">
        <v>45</v>
      </c>
      <c r="D138" t="s">
        <v>46</v>
      </c>
      <c r="E138" s="3">
        <v>132561</v>
      </c>
      <c r="F138" s="3">
        <v>82800</v>
      </c>
      <c r="G138" s="3">
        <v>27918</v>
      </c>
      <c r="H138" s="3">
        <v>15123</v>
      </c>
      <c r="I138" s="3">
        <v>0</v>
      </c>
      <c r="J138" s="3">
        <v>0</v>
      </c>
      <c r="K138" s="3">
        <v>258402</v>
      </c>
    </row>
    <row r="139" spans="1:11" x14ac:dyDescent="0.25">
      <c r="A139" t="s">
        <v>5</v>
      </c>
      <c r="B139" s="2">
        <v>138</v>
      </c>
      <c r="C139" t="s">
        <v>39</v>
      </c>
      <c r="D139" t="s">
        <v>73</v>
      </c>
      <c r="E139" s="3">
        <v>254513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254513</v>
      </c>
    </row>
    <row r="140" spans="1:11" x14ac:dyDescent="0.25">
      <c r="A140" t="s">
        <v>9</v>
      </c>
      <c r="B140" s="2">
        <v>139</v>
      </c>
      <c r="C140" t="s">
        <v>25</v>
      </c>
      <c r="D140" t="s">
        <v>106</v>
      </c>
      <c r="E140" s="3">
        <v>0</v>
      </c>
      <c r="F140" s="3">
        <v>20002</v>
      </c>
      <c r="G140" s="3">
        <v>18645</v>
      </c>
      <c r="H140" s="3">
        <v>110470</v>
      </c>
      <c r="I140" s="3">
        <v>51020</v>
      </c>
      <c r="J140" s="3">
        <v>50742</v>
      </c>
      <c r="K140" s="3">
        <v>250879</v>
      </c>
    </row>
    <row r="141" spans="1:11" x14ac:dyDescent="0.25">
      <c r="A141" t="s">
        <v>8</v>
      </c>
      <c r="B141" s="2">
        <v>140</v>
      </c>
      <c r="C141" t="s">
        <v>94</v>
      </c>
      <c r="D141" t="s">
        <v>97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228071</v>
      </c>
      <c r="K141" s="3">
        <v>228071</v>
      </c>
    </row>
    <row r="142" spans="1:11" x14ac:dyDescent="0.25">
      <c r="A142" t="s">
        <v>3</v>
      </c>
      <c r="B142" s="2">
        <v>141</v>
      </c>
      <c r="C142" t="s">
        <v>25</v>
      </c>
      <c r="D142" t="s">
        <v>69</v>
      </c>
      <c r="E142" s="3">
        <v>0</v>
      </c>
      <c r="F142" s="3">
        <v>52301</v>
      </c>
      <c r="G142" s="3">
        <v>64926</v>
      </c>
      <c r="H142" s="3">
        <v>49817</v>
      </c>
      <c r="I142" s="3">
        <v>18068</v>
      </c>
      <c r="J142" s="3">
        <v>40177</v>
      </c>
      <c r="K142" s="3">
        <v>225289</v>
      </c>
    </row>
    <row r="143" spans="1:11" x14ac:dyDescent="0.25">
      <c r="A143" t="s">
        <v>9</v>
      </c>
      <c r="B143" s="2">
        <v>142</v>
      </c>
      <c r="C143" t="s">
        <v>25</v>
      </c>
      <c r="D143" t="s">
        <v>107</v>
      </c>
      <c r="E143" s="3">
        <v>0</v>
      </c>
      <c r="F143" s="3">
        <v>39133</v>
      </c>
      <c r="G143" s="3">
        <v>34155</v>
      </c>
      <c r="H143" s="3">
        <v>37861</v>
      </c>
      <c r="I143" s="3">
        <v>52535</v>
      </c>
      <c r="J143" s="3">
        <v>50000</v>
      </c>
      <c r="K143" s="3">
        <v>213684</v>
      </c>
    </row>
    <row r="144" spans="1:11" x14ac:dyDescent="0.25">
      <c r="A144" t="s">
        <v>1</v>
      </c>
      <c r="B144" s="2">
        <v>143</v>
      </c>
      <c r="C144" t="s">
        <v>50</v>
      </c>
      <c r="D144" t="s">
        <v>51</v>
      </c>
      <c r="E144" s="3">
        <v>0</v>
      </c>
      <c r="F144" s="3">
        <v>0</v>
      </c>
      <c r="G144" s="3">
        <v>0</v>
      </c>
      <c r="H144" s="3">
        <v>0</v>
      </c>
      <c r="I144" s="3">
        <v>193056</v>
      </c>
      <c r="J144" s="3">
        <v>0</v>
      </c>
      <c r="K144" s="3">
        <v>193056</v>
      </c>
    </row>
    <row r="145" spans="1:11" x14ac:dyDescent="0.25">
      <c r="A145" t="s">
        <v>9</v>
      </c>
      <c r="B145" s="2">
        <v>144</v>
      </c>
      <c r="C145" t="s">
        <v>29</v>
      </c>
      <c r="D145" t="s">
        <v>77</v>
      </c>
      <c r="E145" s="3">
        <v>165289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165289</v>
      </c>
    </row>
    <row r="146" spans="1:11" x14ac:dyDescent="0.25">
      <c r="A146" t="s">
        <v>7</v>
      </c>
      <c r="B146" s="2">
        <v>145</v>
      </c>
      <c r="C146" t="s">
        <v>41</v>
      </c>
      <c r="D146" t="s">
        <v>47</v>
      </c>
      <c r="E146" s="3">
        <v>165031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165031</v>
      </c>
    </row>
    <row r="147" spans="1:11" x14ac:dyDescent="0.25">
      <c r="A147" t="s">
        <v>1</v>
      </c>
      <c r="B147" s="2">
        <v>146</v>
      </c>
      <c r="C147" t="s">
        <v>50</v>
      </c>
      <c r="D147" t="s">
        <v>52</v>
      </c>
      <c r="E147" s="3">
        <v>0</v>
      </c>
      <c r="F147" s="3">
        <v>0</v>
      </c>
      <c r="G147" s="3">
        <v>0</v>
      </c>
      <c r="H147" s="3">
        <v>0</v>
      </c>
      <c r="I147" s="3">
        <v>158766</v>
      </c>
      <c r="J147" s="3">
        <v>0</v>
      </c>
      <c r="K147" s="3">
        <v>158766</v>
      </c>
    </row>
    <row r="148" spans="1:11" x14ac:dyDescent="0.25">
      <c r="A148" t="s">
        <v>9</v>
      </c>
      <c r="B148" s="2">
        <v>147</v>
      </c>
      <c r="C148" t="s">
        <v>63</v>
      </c>
      <c r="D148" t="s">
        <v>99</v>
      </c>
      <c r="E148" s="3">
        <v>61834</v>
      </c>
      <c r="F148" s="3">
        <v>10610</v>
      </c>
      <c r="G148" s="3">
        <v>5853</v>
      </c>
      <c r="H148" s="3">
        <v>14273</v>
      </c>
      <c r="I148" s="3">
        <v>22525</v>
      </c>
      <c r="J148" s="3">
        <v>31828</v>
      </c>
      <c r="K148" s="3">
        <v>146923</v>
      </c>
    </row>
    <row r="149" spans="1:11" x14ac:dyDescent="0.25">
      <c r="A149" t="s">
        <v>8</v>
      </c>
      <c r="B149" s="2">
        <v>148</v>
      </c>
      <c r="C149" t="s">
        <v>41</v>
      </c>
      <c r="D149" t="s">
        <v>78</v>
      </c>
      <c r="E149" s="3">
        <v>143207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143207</v>
      </c>
    </row>
    <row r="150" spans="1:11" x14ac:dyDescent="0.25">
      <c r="A150" t="s">
        <v>9</v>
      </c>
      <c r="B150" s="2">
        <v>149</v>
      </c>
      <c r="C150" t="s">
        <v>25</v>
      </c>
      <c r="D150" t="s">
        <v>108</v>
      </c>
      <c r="E150" s="3">
        <v>0</v>
      </c>
      <c r="F150" s="3">
        <v>26142</v>
      </c>
      <c r="G150" s="3">
        <v>10211</v>
      </c>
      <c r="H150" s="3">
        <v>26796</v>
      </c>
      <c r="I150" s="3">
        <v>15651</v>
      </c>
      <c r="J150" s="3">
        <v>52045</v>
      </c>
      <c r="K150" s="3">
        <v>130845</v>
      </c>
    </row>
    <row r="151" spans="1:11" x14ac:dyDescent="0.25">
      <c r="A151" t="s">
        <v>6</v>
      </c>
      <c r="B151" s="2">
        <v>150</v>
      </c>
      <c r="C151" t="s">
        <v>41</v>
      </c>
      <c r="D151" t="s">
        <v>34</v>
      </c>
      <c r="E151" s="3">
        <v>116032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116032</v>
      </c>
    </row>
    <row r="152" spans="1:11" x14ac:dyDescent="0.25">
      <c r="A152" t="s">
        <v>2</v>
      </c>
      <c r="B152" s="2">
        <v>151</v>
      </c>
      <c r="C152" t="s">
        <v>60</v>
      </c>
      <c r="D152" t="s">
        <v>61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109625</v>
      </c>
      <c r="K152" s="3">
        <v>109625</v>
      </c>
    </row>
    <row r="153" spans="1:11" x14ac:dyDescent="0.25">
      <c r="A153" t="s">
        <v>9</v>
      </c>
      <c r="B153" s="2">
        <v>152</v>
      </c>
      <c r="C153" t="s">
        <v>39</v>
      </c>
      <c r="D153" t="s">
        <v>26</v>
      </c>
      <c r="E153" s="3">
        <v>99696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99696</v>
      </c>
    </row>
    <row r="154" spans="1:11" x14ac:dyDescent="0.25">
      <c r="A154" t="s">
        <v>7</v>
      </c>
      <c r="B154" s="2">
        <v>153</v>
      </c>
      <c r="C154" t="s">
        <v>75</v>
      </c>
      <c r="D154" t="s">
        <v>86</v>
      </c>
      <c r="E154" s="3">
        <v>92074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92074</v>
      </c>
    </row>
    <row r="155" spans="1:11" x14ac:dyDescent="0.25">
      <c r="A155" t="s">
        <v>8</v>
      </c>
      <c r="B155" s="2">
        <v>154</v>
      </c>
      <c r="C155" t="s">
        <v>63</v>
      </c>
      <c r="D155" t="s">
        <v>98</v>
      </c>
      <c r="E155" s="3">
        <v>0</v>
      </c>
      <c r="F155" s="3">
        <v>0</v>
      </c>
      <c r="G155" s="3">
        <v>0</v>
      </c>
      <c r="H155" s="3">
        <v>86845</v>
      </c>
      <c r="I155" s="3">
        <v>0</v>
      </c>
      <c r="J155" s="3">
        <v>2150</v>
      </c>
      <c r="K155" s="3">
        <v>88995</v>
      </c>
    </row>
    <row r="156" spans="1:11" x14ac:dyDescent="0.25">
      <c r="A156" t="s">
        <v>5</v>
      </c>
      <c r="B156" s="2">
        <v>155</v>
      </c>
      <c r="C156" t="s">
        <v>81</v>
      </c>
      <c r="D156" t="s">
        <v>82</v>
      </c>
      <c r="E156" s="3">
        <v>0</v>
      </c>
      <c r="F156" s="3">
        <v>0</v>
      </c>
      <c r="G156" s="3">
        <v>15000</v>
      </c>
      <c r="H156" s="3">
        <v>0</v>
      </c>
      <c r="I156" s="3">
        <v>0</v>
      </c>
      <c r="J156" s="3">
        <v>73701</v>
      </c>
      <c r="K156" s="3">
        <v>88701</v>
      </c>
    </row>
    <row r="157" spans="1:11" x14ac:dyDescent="0.25">
      <c r="A157" t="s">
        <v>6</v>
      </c>
      <c r="B157" s="2">
        <v>156</v>
      </c>
      <c r="C157" t="s">
        <v>70</v>
      </c>
      <c r="D157" t="s">
        <v>73</v>
      </c>
      <c r="E157" s="3">
        <v>0</v>
      </c>
      <c r="F157" s="3">
        <v>22331</v>
      </c>
      <c r="G157" s="3">
        <v>28107</v>
      </c>
      <c r="H157" s="3">
        <v>27914</v>
      </c>
      <c r="I157" s="3">
        <v>10091</v>
      </c>
      <c r="J157" s="3">
        <v>0</v>
      </c>
      <c r="K157" s="3">
        <v>88443</v>
      </c>
    </row>
    <row r="158" spans="1:11" x14ac:dyDescent="0.25">
      <c r="A158" t="s">
        <v>6</v>
      </c>
      <c r="B158" s="2">
        <v>157</v>
      </c>
      <c r="C158" t="s">
        <v>81</v>
      </c>
      <c r="D158" t="s">
        <v>82</v>
      </c>
      <c r="E158" s="3">
        <v>0</v>
      </c>
      <c r="F158" s="3">
        <v>0</v>
      </c>
      <c r="G158" s="3">
        <v>15000</v>
      </c>
      <c r="H158" s="3">
        <v>0</v>
      </c>
      <c r="I158" s="3">
        <v>0</v>
      </c>
      <c r="J158" s="3">
        <v>72514</v>
      </c>
      <c r="K158" s="3">
        <v>87514</v>
      </c>
    </row>
    <row r="159" spans="1:11" x14ac:dyDescent="0.25">
      <c r="A159" t="s">
        <v>2</v>
      </c>
      <c r="B159" s="2">
        <v>158</v>
      </c>
      <c r="C159" t="s">
        <v>37</v>
      </c>
      <c r="D159" t="s">
        <v>62</v>
      </c>
      <c r="E159" s="3">
        <v>0</v>
      </c>
      <c r="F159" s="3">
        <v>0</v>
      </c>
      <c r="G159" s="3">
        <v>0</v>
      </c>
      <c r="H159" s="3">
        <v>82062</v>
      </c>
      <c r="I159" s="3">
        <v>0</v>
      </c>
      <c r="J159" s="3">
        <v>0</v>
      </c>
      <c r="K159" s="3">
        <v>82062</v>
      </c>
    </row>
    <row r="160" spans="1:11" x14ac:dyDescent="0.25">
      <c r="A160" t="s">
        <v>7</v>
      </c>
      <c r="B160" s="2">
        <v>159</v>
      </c>
      <c r="C160" t="s">
        <v>90</v>
      </c>
      <c r="D160" t="s">
        <v>42</v>
      </c>
      <c r="E160" s="3">
        <v>75552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75552</v>
      </c>
    </row>
    <row r="161" spans="1:11" x14ac:dyDescent="0.25">
      <c r="A161" t="s">
        <v>1</v>
      </c>
      <c r="B161" s="2">
        <v>160</v>
      </c>
      <c r="C161" t="s">
        <v>53</v>
      </c>
      <c r="D161" t="s">
        <v>44</v>
      </c>
      <c r="E161" s="3">
        <v>72642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72642</v>
      </c>
    </row>
    <row r="162" spans="1:11" x14ac:dyDescent="0.25">
      <c r="A162" t="s">
        <v>8</v>
      </c>
      <c r="B162" s="2">
        <v>161</v>
      </c>
      <c r="C162" t="s">
        <v>63</v>
      </c>
      <c r="D162" t="s">
        <v>99</v>
      </c>
      <c r="E162" s="3">
        <v>0</v>
      </c>
      <c r="F162" s="3">
        <v>0</v>
      </c>
      <c r="G162" s="3">
        <v>0</v>
      </c>
      <c r="H162" s="3">
        <v>0</v>
      </c>
      <c r="I162" s="3">
        <v>71658</v>
      </c>
      <c r="J162" s="3">
        <v>0</v>
      </c>
      <c r="K162" s="3">
        <v>71658</v>
      </c>
    </row>
    <row r="163" spans="1:11" x14ac:dyDescent="0.25">
      <c r="A163" t="s">
        <v>9</v>
      </c>
      <c r="B163" s="2">
        <v>162</v>
      </c>
      <c r="C163" t="s">
        <v>63</v>
      </c>
      <c r="D163" t="s">
        <v>98</v>
      </c>
      <c r="E163" s="3">
        <v>11200</v>
      </c>
      <c r="F163" s="3">
        <v>7092</v>
      </c>
      <c r="G163" s="3">
        <v>2717</v>
      </c>
      <c r="H163" s="3">
        <v>12104</v>
      </c>
      <c r="I163" s="3">
        <v>1100</v>
      </c>
      <c r="J163" s="3">
        <v>30818</v>
      </c>
      <c r="K163" s="3">
        <v>65031</v>
      </c>
    </row>
    <row r="164" spans="1:11" x14ac:dyDescent="0.25">
      <c r="A164" t="s">
        <v>8</v>
      </c>
      <c r="B164" s="2">
        <v>163</v>
      </c>
      <c r="C164" t="s">
        <v>100</v>
      </c>
      <c r="D164" t="s">
        <v>101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60000</v>
      </c>
      <c r="K164" s="3">
        <v>60000</v>
      </c>
    </row>
    <row r="165" spans="1:11" x14ac:dyDescent="0.25">
      <c r="A165" t="s">
        <v>8</v>
      </c>
      <c r="B165" s="2">
        <v>164</v>
      </c>
      <c r="C165" t="s">
        <v>58</v>
      </c>
      <c r="D165" t="s">
        <v>59</v>
      </c>
      <c r="E165" s="3">
        <v>0</v>
      </c>
      <c r="F165" s="3">
        <v>58462</v>
      </c>
      <c r="G165" s="3">
        <v>0</v>
      </c>
      <c r="H165" s="3">
        <v>0</v>
      </c>
      <c r="I165" s="3">
        <v>0</v>
      </c>
      <c r="J165" s="3">
        <v>0</v>
      </c>
      <c r="K165" s="3">
        <v>58462</v>
      </c>
    </row>
    <row r="166" spans="1:11" x14ac:dyDescent="0.25">
      <c r="A166" t="s">
        <v>1</v>
      </c>
      <c r="B166" s="2">
        <v>165</v>
      </c>
      <c r="C166" t="s">
        <v>54</v>
      </c>
      <c r="D166" t="s">
        <v>55</v>
      </c>
      <c r="E166" s="3">
        <v>0</v>
      </c>
      <c r="F166" s="3">
        <v>57234</v>
      </c>
      <c r="G166" s="3">
        <v>0</v>
      </c>
      <c r="H166" s="3">
        <v>0</v>
      </c>
      <c r="I166" s="3">
        <v>0</v>
      </c>
      <c r="J166" s="3">
        <v>0</v>
      </c>
      <c r="K166" s="3">
        <v>57234</v>
      </c>
    </row>
    <row r="167" spans="1:11" x14ac:dyDescent="0.25">
      <c r="A167" t="s">
        <v>5</v>
      </c>
      <c r="B167" s="2">
        <v>166</v>
      </c>
      <c r="C167" t="s">
        <v>37</v>
      </c>
      <c r="D167" t="s">
        <v>71</v>
      </c>
      <c r="E167" s="3">
        <v>55575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55575</v>
      </c>
    </row>
    <row r="168" spans="1:11" x14ac:dyDescent="0.25">
      <c r="A168" t="s">
        <v>8</v>
      </c>
      <c r="B168" s="2">
        <v>167</v>
      </c>
      <c r="C168" t="s">
        <v>102</v>
      </c>
      <c r="D168" t="s">
        <v>103</v>
      </c>
      <c r="E168" s="3">
        <v>0</v>
      </c>
      <c r="F168" s="3">
        <v>54126</v>
      </c>
      <c r="G168" s="3">
        <v>0</v>
      </c>
      <c r="H168" s="3">
        <v>0</v>
      </c>
      <c r="I168" s="3">
        <v>0</v>
      </c>
      <c r="J168" s="3">
        <v>0</v>
      </c>
      <c r="K168" s="3">
        <v>54126</v>
      </c>
    </row>
    <row r="169" spans="1:11" x14ac:dyDescent="0.25">
      <c r="A169" t="s">
        <v>9</v>
      </c>
      <c r="B169" s="2">
        <v>168</v>
      </c>
      <c r="C169" t="s">
        <v>63</v>
      </c>
      <c r="D169" t="s">
        <v>64</v>
      </c>
      <c r="E169" s="3">
        <v>0</v>
      </c>
      <c r="F169" s="3">
        <v>6025</v>
      </c>
      <c r="G169" s="3">
        <v>1595</v>
      </c>
      <c r="H169" s="3">
        <v>12147</v>
      </c>
      <c r="I169" s="3">
        <v>2100</v>
      </c>
      <c r="J169" s="3">
        <v>31316</v>
      </c>
      <c r="K169" s="3">
        <v>53183</v>
      </c>
    </row>
    <row r="170" spans="1:11" x14ac:dyDescent="0.25">
      <c r="A170" t="s">
        <v>4</v>
      </c>
      <c r="B170" s="2">
        <v>169</v>
      </c>
      <c r="C170" t="s">
        <v>63</v>
      </c>
      <c r="D170" t="s">
        <v>64</v>
      </c>
      <c r="E170" s="3">
        <v>0</v>
      </c>
      <c r="F170" s="3">
        <v>0</v>
      </c>
      <c r="G170" s="3">
        <v>0</v>
      </c>
      <c r="H170" s="3">
        <v>41548</v>
      </c>
      <c r="I170" s="3">
        <v>0</v>
      </c>
      <c r="J170" s="3">
        <v>0</v>
      </c>
      <c r="K170" s="3">
        <v>41548</v>
      </c>
    </row>
    <row r="171" spans="1:11" x14ac:dyDescent="0.25">
      <c r="A171" t="s">
        <v>6</v>
      </c>
      <c r="B171" s="2">
        <v>170</v>
      </c>
      <c r="C171" t="s">
        <v>63</v>
      </c>
      <c r="D171" t="s">
        <v>64</v>
      </c>
      <c r="E171" s="3">
        <v>0</v>
      </c>
      <c r="F171" s="3">
        <v>0</v>
      </c>
      <c r="G171" s="3">
        <v>10000</v>
      </c>
      <c r="H171" s="3">
        <v>0</v>
      </c>
      <c r="I171" s="3">
        <v>0</v>
      </c>
      <c r="J171" s="3">
        <v>31094</v>
      </c>
      <c r="K171" s="3">
        <v>41094</v>
      </c>
    </row>
    <row r="172" spans="1:11" x14ac:dyDescent="0.25">
      <c r="A172" t="s">
        <v>6</v>
      </c>
      <c r="B172" s="2">
        <v>171</v>
      </c>
      <c r="C172" t="s">
        <v>87</v>
      </c>
      <c r="D172" t="s">
        <v>65</v>
      </c>
      <c r="E172" s="3">
        <v>0</v>
      </c>
      <c r="F172" s="3">
        <v>0</v>
      </c>
      <c r="G172" s="3">
        <v>10000</v>
      </c>
      <c r="H172" s="3">
        <v>0</v>
      </c>
      <c r="I172" s="3">
        <v>0</v>
      </c>
      <c r="J172" s="3">
        <v>30434</v>
      </c>
      <c r="K172" s="3">
        <v>40434</v>
      </c>
    </row>
    <row r="173" spans="1:11" x14ac:dyDescent="0.25">
      <c r="A173" t="s">
        <v>4</v>
      </c>
      <c r="B173" s="2">
        <v>172</v>
      </c>
      <c r="C173" t="s">
        <v>63</v>
      </c>
      <c r="D173" t="s">
        <v>65</v>
      </c>
      <c r="E173" s="3">
        <v>0</v>
      </c>
      <c r="F173" s="3">
        <v>0</v>
      </c>
      <c r="G173" s="3">
        <v>0</v>
      </c>
      <c r="H173" s="3">
        <v>40000</v>
      </c>
      <c r="I173" s="3">
        <v>0</v>
      </c>
      <c r="J173" s="3">
        <v>0</v>
      </c>
      <c r="K173" s="3">
        <v>40000</v>
      </c>
    </row>
    <row r="174" spans="1:11" x14ac:dyDescent="0.25">
      <c r="A174" t="s">
        <v>7</v>
      </c>
      <c r="B174" s="2">
        <v>173</v>
      </c>
      <c r="C174" t="s">
        <v>43</v>
      </c>
      <c r="D174" t="s">
        <v>48</v>
      </c>
      <c r="E174" s="3">
        <v>39535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39535</v>
      </c>
    </row>
    <row r="175" spans="1:11" x14ac:dyDescent="0.25">
      <c r="A175" t="s">
        <v>5</v>
      </c>
      <c r="B175" s="2">
        <v>174</v>
      </c>
      <c r="C175" t="s">
        <v>63</v>
      </c>
      <c r="D175" t="s">
        <v>64</v>
      </c>
      <c r="E175" s="3">
        <v>0</v>
      </c>
      <c r="F175" s="3">
        <v>0</v>
      </c>
      <c r="G175" s="3">
        <v>10000</v>
      </c>
      <c r="H175" s="3">
        <v>0</v>
      </c>
      <c r="I175" s="3">
        <v>11509</v>
      </c>
      <c r="J175" s="3">
        <v>16455</v>
      </c>
      <c r="K175" s="3">
        <v>37964</v>
      </c>
    </row>
    <row r="176" spans="1:11" x14ac:dyDescent="0.25">
      <c r="A176" t="s">
        <v>5</v>
      </c>
      <c r="B176" s="2">
        <v>175</v>
      </c>
      <c r="C176" t="s">
        <v>63</v>
      </c>
      <c r="D176" t="s">
        <v>65</v>
      </c>
      <c r="E176" s="3">
        <v>0</v>
      </c>
      <c r="F176" s="3">
        <v>0</v>
      </c>
      <c r="G176" s="3">
        <v>10000</v>
      </c>
      <c r="H176" s="3">
        <v>0</v>
      </c>
      <c r="I176" s="3">
        <v>12222</v>
      </c>
      <c r="J176" s="3">
        <v>15655</v>
      </c>
      <c r="K176" s="3">
        <v>37877</v>
      </c>
    </row>
    <row r="177" spans="1:11" x14ac:dyDescent="0.25">
      <c r="A177" t="s">
        <v>2</v>
      </c>
      <c r="B177" s="2">
        <v>176</v>
      </c>
      <c r="C177" t="s">
        <v>63</v>
      </c>
      <c r="D177" t="s">
        <v>64</v>
      </c>
      <c r="E177" s="3">
        <v>0</v>
      </c>
      <c r="F177" s="3">
        <v>0</v>
      </c>
      <c r="G177" s="3">
        <v>25132</v>
      </c>
      <c r="H177" s="3">
        <v>8342</v>
      </c>
      <c r="I177" s="3">
        <v>3622</v>
      </c>
      <c r="J177" s="3">
        <v>0</v>
      </c>
      <c r="K177" s="3">
        <v>37096</v>
      </c>
    </row>
    <row r="178" spans="1:11" x14ac:dyDescent="0.25">
      <c r="A178" t="s">
        <v>8</v>
      </c>
      <c r="B178" s="2">
        <v>177</v>
      </c>
      <c r="C178" t="s">
        <v>63</v>
      </c>
      <c r="D178" t="s">
        <v>64</v>
      </c>
      <c r="E178" s="3">
        <v>0</v>
      </c>
      <c r="F178" s="3">
        <v>2777</v>
      </c>
      <c r="G178" s="3">
        <v>11205</v>
      </c>
      <c r="H178" s="3">
        <v>2153</v>
      </c>
      <c r="I178" s="3">
        <v>6560</v>
      </c>
      <c r="J178" s="3">
        <v>12194</v>
      </c>
      <c r="K178" s="3">
        <v>34889</v>
      </c>
    </row>
    <row r="179" spans="1:11" x14ac:dyDescent="0.25">
      <c r="A179" t="s">
        <v>7</v>
      </c>
      <c r="B179" s="2">
        <v>178</v>
      </c>
      <c r="C179" t="s">
        <v>63</v>
      </c>
      <c r="D179" t="s">
        <v>64</v>
      </c>
      <c r="E179" s="3">
        <v>0</v>
      </c>
      <c r="F179" s="3">
        <v>0</v>
      </c>
      <c r="G179" s="3">
        <v>0</v>
      </c>
      <c r="H179" s="3">
        <v>0</v>
      </c>
      <c r="I179" s="3">
        <v>32027</v>
      </c>
      <c r="J179" s="3">
        <v>0</v>
      </c>
      <c r="K179" s="3">
        <v>32027</v>
      </c>
    </row>
    <row r="180" spans="1:11" x14ac:dyDescent="0.25">
      <c r="A180" t="s">
        <v>7</v>
      </c>
      <c r="B180" s="2">
        <v>179</v>
      </c>
      <c r="C180" t="s">
        <v>63</v>
      </c>
      <c r="D180" t="s">
        <v>65</v>
      </c>
      <c r="E180" s="3">
        <v>0</v>
      </c>
      <c r="F180" s="3">
        <v>0</v>
      </c>
      <c r="G180" s="3">
        <v>0</v>
      </c>
      <c r="H180" s="3">
        <v>0</v>
      </c>
      <c r="I180" s="3">
        <v>30099</v>
      </c>
      <c r="J180" s="3">
        <v>0</v>
      </c>
      <c r="K180" s="3">
        <v>30099</v>
      </c>
    </row>
    <row r="181" spans="1:11" x14ac:dyDescent="0.25">
      <c r="A181" t="s">
        <v>4</v>
      </c>
      <c r="B181" s="2">
        <v>180</v>
      </c>
      <c r="C181" t="s">
        <v>75</v>
      </c>
      <c r="D181" t="s">
        <v>69</v>
      </c>
      <c r="E181" s="3">
        <v>11369</v>
      </c>
      <c r="F181" s="3">
        <v>12104</v>
      </c>
      <c r="G181" s="3">
        <v>5289</v>
      </c>
      <c r="H181" s="3">
        <v>0</v>
      </c>
      <c r="I181" s="3">
        <v>0</v>
      </c>
      <c r="J181" s="3">
        <v>0</v>
      </c>
      <c r="K181" s="3">
        <v>28762</v>
      </c>
    </row>
    <row r="182" spans="1:11" x14ac:dyDescent="0.25">
      <c r="A182" t="s">
        <v>4</v>
      </c>
      <c r="B182" s="2">
        <v>181</v>
      </c>
      <c r="C182" t="s">
        <v>76</v>
      </c>
      <c r="D182" t="s">
        <v>61</v>
      </c>
      <c r="E182" s="3">
        <v>28073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28073</v>
      </c>
    </row>
    <row r="183" spans="1:11" x14ac:dyDescent="0.25">
      <c r="A183" t="s">
        <v>8</v>
      </c>
      <c r="B183" s="2">
        <v>182</v>
      </c>
      <c r="C183" t="s">
        <v>63</v>
      </c>
      <c r="D183" t="s">
        <v>104</v>
      </c>
      <c r="E183" s="3">
        <v>0</v>
      </c>
      <c r="F183" s="3">
        <v>0</v>
      </c>
      <c r="G183" s="3">
        <v>19129</v>
      </c>
      <c r="H183" s="3">
        <v>0</v>
      </c>
      <c r="I183" s="3">
        <v>0</v>
      </c>
      <c r="J183" s="3">
        <v>0</v>
      </c>
      <c r="K183" s="3">
        <v>19129</v>
      </c>
    </row>
    <row r="184" spans="1:11" x14ac:dyDescent="0.25">
      <c r="A184" t="s">
        <v>9</v>
      </c>
      <c r="B184" s="2">
        <v>183</v>
      </c>
      <c r="C184" t="s">
        <v>63</v>
      </c>
      <c r="D184" t="s">
        <v>109</v>
      </c>
      <c r="E184" s="3">
        <v>18405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18405</v>
      </c>
    </row>
    <row r="185" spans="1:11" x14ac:dyDescent="0.25">
      <c r="A185" t="s">
        <v>2</v>
      </c>
      <c r="B185" s="2">
        <v>184</v>
      </c>
      <c r="C185" t="s">
        <v>63</v>
      </c>
      <c r="D185" t="s">
        <v>65</v>
      </c>
      <c r="E185" s="3">
        <v>0</v>
      </c>
      <c r="F185" s="3">
        <v>0</v>
      </c>
      <c r="G185" s="3">
        <v>6202</v>
      </c>
      <c r="H185" s="3">
        <v>6441</v>
      </c>
      <c r="I185" s="3">
        <v>4202</v>
      </c>
      <c r="J185" s="3">
        <v>0</v>
      </c>
      <c r="K185" s="3">
        <v>16845</v>
      </c>
    </row>
    <row r="186" spans="1:11" x14ac:dyDescent="0.25">
      <c r="A186" t="s">
        <v>9</v>
      </c>
      <c r="B186" s="2">
        <v>185</v>
      </c>
      <c r="C186" t="s">
        <v>60</v>
      </c>
      <c r="D186" t="s">
        <v>110</v>
      </c>
      <c r="E186" s="3">
        <v>11813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11813</v>
      </c>
    </row>
    <row r="187" spans="1:11" x14ac:dyDescent="0.25">
      <c r="A187" t="s">
        <v>7</v>
      </c>
      <c r="B187" s="2">
        <v>186</v>
      </c>
      <c r="C187" t="s">
        <v>92</v>
      </c>
      <c r="D187" t="s">
        <v>80</v>
      </c>
      <c r="E187" s="3">
        <v>10623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10623</v>
      </c>
    </row>
    <row r="188" spans="1:11" x14ac:dyDescent="0.25">
      <c r="A188" t="s">
        <v>3</v>
      </c>
      <c r="B188" s="2">
        <v>187</v>
      </c>
      <c r="C188" t="s">
        <v>63</v>
      </c>
      <c r="D188" t="s">
        <v>64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10000</v>
      </c>
      <c r="K188" s="3">
        <v>10000</v>
      </c>
    </row>
    <row r="189" spans="1:11" x14ac:dyDescent="0.25">
      <c r="A189" t="s">
        <v>3</v>
      </c>
      <c r="B189" s="2">
        <v>188</v>
      </c>
      <c r="C189" t="s">
        <v>63</v>
      </c>
      <c r="D189" t="s">
        <v>65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10000</v>
      </c>
      <c r="K189" s="3">
        <v>10000</v>
      </c>
    </row>
    <row r="190" spans="1:11" x14ac:dyDescent="0.25">
      <c r="A190" t="s">
        <v>8</v>
      </c>
      <c r="B190" s="2">
        <v>189</v>
      </c>
      <c r="C190" t="s">
        <v>63</v>
      </c>
      <c r="D190" t="s">
        <v>65</v>
      </c>
      <c r="E190" s="3">
        <v>0</v>
      </c>
      <c r="F190" s="3">
        <v>5628</v>
      </c>
      <c r="G190" s="3">
        <v>2095</v>
      </c>
      <c r="H190" s="3">
        <v>1111</v>
      </c>
      <c r="I190" s="3">
        <v>100</v>
      </c>
      <c r="J190" s="3">
        <v>0</v>
      </c>
      <c r="K190" s="3">
        <v>8934</v>
      </c>
    </row>
    <row r="191" spans="1:11" x14ac:dyDescent="0.25">
      <c r="A191" t="s">
        <v>5</v>
      </c>
      <c r="B191" s="2">
        <v>190</v>
      </c>
      <c r="C191" t="s">
        <v>53</v>
      </c>
      <c r="D191" t="s">
        <v>68</v>
      </c>
      <c r="E191" s="3">
        <v>8322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8322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workbookViewId="0">
      <selection activeCell="N24" sqref="N24"/>
    </sheetView>
  </sheetViews>
  <sheetFormatPr defaultRowHeight="15" x14ac:dyDescent="0.25"/>
  <cols>
    <col min="1" max="1" width="6" customWidth="1"/>
    <col min="2" max="2" width="10" customWidth="1"/>
    <col min="4" max="4" width="13" customWidth="1"/>
    <col min="10" max="10" width="18.7109375" customWidth="1"/>
  </cols>
  <sheetData>
    <row r="1" spans="1:10" ht="33" x14ac:dyDescent="0.25">
      <c r="A1" s="4" t="s">
        <v>11</v>
      </c>
      <c r="B1" s="4" t="s">
        <v>12</v>
      </c>
      <c r="C1" s="4" t="s">
        <v>13</v>
      </c>
      <c r="D1" s="4" t="s">
        <v>111</v>
      </c>
      <c r="E1" s="4" t="s">
        <v>112</v>
      </c>
      <c r="F1" s="4" t="s">
        <v>113</v>
      </c>
      <c r="G1" s="4" t="s">
        <v>114</v>
      </c>
      <c r="H1" s="4" t="s">
        <v>115</v>
      </c>
      <c r="I1" s="4" t="s">
        <v>116</v>
      </c>
      <c r="J1" s="4" t="s">
        <v>20</v>
      </c>
    </row>
    <row r="2" spans="1:10" x14ac:dyDescent="0.25">
      <c r="A2" s="5">
        <v>1</v>
      </c>
      <c r="B2" s="5" t="s">
        <v>21</v>
      </c>
      <c r="C2" s="6" t="s">
        <v>22</v>
      </c>
      <c r="D2" s="7">
        <v>1115085</v>
      </c>
      <c r="E2" s="7">
        <v>341919</v>
      </c>
      <c r="F2" s="7">
        <v>846438</v>
      </c>
      <c r="G2" s="7">
        <v>492998</v>
      </c>
      <c r="H2" s="7">
        <v>1124363</v>
      </c>
      <c r="I2" s="7">
        <v>778111</v>
      </c>
      <c r="J2" s="7">
        <v>4698914</v>
      </c>
    </row>
    <row r="3" spans="1:10" x14ac:dyDescent="0.25">
      <c r="A3" s="5">
        <v>2</v>
      </c>
      <c r="B3" s="5" t="s">
        <v>23</v>
      </c>
      <c r="C3" s="6" t="s">
        <v>24</v>
      </c>
      <c r="D3" s="7">
        <v>1008708</v>
      </c>
      <c r="E3" s="7">
        <v>472881</v>
      </c>
      <c r="F3" s="7">
        <v>629607</v>
      </c>
      <c r="G3" s="7">
        <v>440704</v>
      </c>
      <c r="H3" s="7">
        <v>373868</v>
      </c>
      <c r="I3" s="7">
        <v>237182</v>
      </c>
      <c r="J3" s="7">
        <v>3162950</v>
      </c>
    </row>
    <row r="4" spans="1:10" x14ac:dyDescent="0.25">
      <c r="A4" s="5">
        <v>3</v>
      </c>
      <c r="B4" s="5" t="s">
        <v>25</v>
      </c>
      <c r="C4" s="6" t="s">
        <v>26</v>
      </c>
      <c r="D4" s="7">
        <v>0</v>
      </c>
      <c r="E4" s="7">
        <v>0</v>
      </c>
      <c r="F4" s="7">
        <v>0</v>
      </c>
      <c r="G4" s="7">
        <v>1257204</v>
      </c>
      <c r="H4" s="7">
        <v>1007459</v>
      </c>
      <c r="I4" s="7">
        <v>758338</v>
      </c>
      <c r="J4" s="7">
        <f>SUM(D4:I4)</f>
        <v>3023001</v>
      </c>
    </row>
    <row r="5" spans="1:10" x14ac:dyDescent="0.25">
      <c r="A5" s="5">
        <v>4</v>
      </c>
      <c r="B5" s="5" t="s">
        <v>27</v>
      </c>
      <c r="C5" s="6" t="s">
        <v>28</v>
      </c>
      <c r="D5" s="7">
        <v>513851</v>
      </c>
      <c r="E5" s="7">
        <v>419632</v>
      </c>
      <c r="F5" s="7">
        <v>187037</v>
      </c>
      <c r="G5" s="7">
        <v>379536</v>
      </c>
      <c r="H5" s="7">
        <v>110474</v>
      </c>
      <c r="I5" s="7">
        <v>229175</v>
      </c>
      <c r="J5" s="7">
        <v>1839705</v>
      </c>
    </row>
    <row r="6" spans="1:10" x14ac:dyDescent="0.25">
      <c r="A6" s="5">
        <v>5</v>
      </c>
      <c r="B6" s="5" t="s">
        <v>29</v>
      </c>
      <c r="C6" s="6" t="s">
        <v>30</v>
      </c>
      <c r="D6" s="7">
        <v>334037</v>
      </c>
      <c r="E6" s="7">
        <v>294058</v>
      </c>
      <c r="F6" s="7">
        <v>224805</v>
      </c>
      <c r="G6" s="7">
        <v>173940</v>
      </c>
      <c r="H6" s="7">
        <v>124722</v>
      </c>
      <c r="I6" s="7">
        <v>542906</v>
      </c>
      <c r="J6" s="7">
        <v>1694468</v>
      </c>
    </row>
    <row r="7" spans="1:10" x14ac:dyDescent="0.25">
      <c r="A7" s="5">
        <v>6</v>
      </c>
      <c r="B7" s="5" t="s">
        <v>31</v>
      </c>
      <c r="C7" s="6" t="s">
        <v>32</v>
      </c>
      <c r="D7" s="7">
        <v>846054</v>
      </c>
      <c r="E7" s="7">
        <v>252252</v>
      </c>
      <c r="F7" s="7">
        <v>129519</v>
      </c>
      <c r="G7" s="7">
        <v>420649</v>
      </c>
      <c r="H7" s="7">
        <v>0</v>
      </c>
      <c r="I7" s="7">
        <v>0</v>
      </c>
      <c r="J7" s="7">
        <v>1648474</v>
      </c>
    </row>
    <row r="8" spans="1:10" x14ac:dyDescent="0.25">
      <c r="A8" s="5">
        <v>7</v>
      </c>
      <c r="B8" s="5" t="s">
        <v>33</v>
      </c>
      <c r="C8" s="6" t="s">
        <v>34</v>
      </c>
      <c r="D8" s="7">
        <v>248746</v>
      </c>
      <c r="E8" s="7">
        <v>209284</v>
      </c>
      <c r="F8" s="7">
        <v>39952</v>
      </c>
      <c r="G8" s="7">
        <v>25885</v>
      </c>
      <c r="H8" s="7">
        <v>493432</v>
      </c>
      <c r="I8" s="7">
        <v>374248</v>
      </c>
      <c r="J8" s="7">
        <v>1391547</v>
      </c>
    </row>
    <row r="9" spans="1:10" x14ac:dyDescent="0.25">
      <c r="A9" s="5">
        <v>8</v>
      </c>
      <c r="B9" s="5" t="s">
        <v>35</v>
      </c>
      <c r="C9" s="6" t="s">
        <v>36</v>
      </c>
      <c r="D9" s="7">
        <v>381587</v>
      </c>
      <c r="E9" s="7">
        <v>55851</v>
      </c>
      <c r="F9" s="7">
        <v>335337</v>
      </c>
      <c r="G9" s="7">
        <v>162000</v>
      </c>
      <c r="H9" s="7">
        <v>48357</v>
      </c>
      <c r="I9" s="7">
        <v>74693</v>
      </c>
      <c r="J9" s="7">
        <v>1057825</v>
      </c>
    </row>
    <row r="10" spans="1:10" x14ac:dyDescent="0.25">
      <c r="A10" s="5">
        <v>9</v>
      </c>
      <c r="B10" s="5" t="s">
        <v>37</v>
      </c>
      <c r="C10" s="6" t="s">
        <v>38</v>
      </c>
      <c r="D10" s="7">
        <v>228482</v>
      </c>
      <c r="E10" s="7">
        <v>100013</v>
      </c>
      <c r="F10" s="7">
        <v>177380</v>
      </c>
      <c r="G10" s="7">
        <v>153963</v>
      </c>
      <c r="H10" s="7">
        <v>108394</v>
      </c>
      <c r="I10" s="7">
        <v>266252</v>
      </c>
      <c r="J10" s="7">
        <v>1034484</v>
      </c>
    </row>
    <row r="11" spans="1:10" x14ac:dyDescent="0.25">
      <c r="A11" s="5">
        <v>10</v>
      </c>
      <c r="B11" s="5" t="s">
        <v>39</v>
      </c>
      <c r="C11" s="6" t="s">
        <v>40</v>
      </c>
      <c r="D11" s="7">
        <v>201927</v>
      </c>
      <c r="E11" s="7">
        <v>89387</v>
      </c>
      <c r="F11" s="7">
        <v>62672</v>
      </c>
      <c r="G11" s="7">
        <v>192575</v>
      </c>
      <c r="H11" s="7">
        <v>344362</v>
      </c>
      <c r="I11" s="7">
        <v>52324</v>
      </c>
      <c r="J11" s="7">
        <v>943247</v>
      </c>
    </row>
    <row r="12" spans="1:10" x14ac:dyDescent="0.25">
      <c r="A12" s="5">
        <v>11</v>
      </c>
      <c r="B12" s="5" t="s">
        <v>41</v>
      </c>
      <c r="C12" s="6" t="s">
        <v>42</v>
      </c>
      <c r="D12" s="7">
        <v>245802</v>
      </c>
      <c r="E12" s="7">
        <v>120107</v>
      </c>
      <c r="F12" s="7">
        <v>61481</v>
      </c>
      <c r="G12" s="7">
        <v>187541</v>
      </c>
      <c r="H12" s="7">
        <v>67016</v>
      </c>
      <c r="I12" s="7">
        <v>95092</v>
      </c>
      <c r="J12" s="7">
        <v>777039</v>
      </c>
    </row>
    <row r="13" spans="1:10" x14ac:dyDescent="0.25">
      <c r="A13" s="5">
        <v>12</v>
      </c>
      <c r="B13" s="5" t="s">
        <v>43</v>
      </c>
      <c r="C13" s="6" t="s">
        <v>44</v>
      </c>
      <c r="D13" s="7">
        <v>117641</v>
      </c>
      <c r="E13" s="7">
        <v>74140</v>
      </c>
      <c r="F13" s="7">
        <v>93164</v>
      </c>
      <c r="G13" s="7">
        <v>155412</v>
      </c>
      <c r="H13" s="7">
        <v>30841</v>
      </c>
      <c r="I13" s="7">
        <v>65657</v>
      </c>
      <c r="J13" s="7">
        <v>536855</v>
      </c>
    </row>
    <row r="14" spans="1:10" x14ac:dyDescent="0.25">
      <c r="A14" s="5">
        <v>13</v>
      </c>
      <c r="B14" s="5" t="s">
        <v>45</v>
      </c>
      <c r="C14" s="6" t="s">
        <v>46</v>
      </c>
      <c r="D14" s="7">
        <v>132561</v>
      </c>
      <c r="E14" s="7">
        <v>82800</v>
      </c>
      <c r="F14" s="7">
        <v>27918</v>
      </c>
      <c r="G14" s="7">
        <v>15123</v>
      </c>
      <c r="H14" s="7">
        <v>0</v>
      </c>
      <c r="I14" s="7">
        <v>0</v>
      </c>
      <c r="J14" s="7">
        <v>258402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workbookViewId="0">
      <selection activeCell="O27" sqref="O27"/>
    </sheetView>
  </sheetViews>
  <sheetFormatPr defaultRowHeight="15" x14ac:dyDescent="0.25"/>
  <cols>
    <col min="1" max="1" width="6" customWidth="1"/>
    <col min="2" max="2" width="12" customWidth="1"/>
    <col min="3" max="3" width="10" customWidth="1"/>
    <col min="4" max="4" width="12" customWidth="1"/>
    <col min="10" max="10" width="19" customWidth="1"/>
  </cols>
  <sheetData>
    <row r="1" spans="1:10" ht="16.5" x14ac:dyDescent="0.25">
      <c r="A1" s="8" t="s">
        <v>11</v>
      </c>
      <c r="B1" s="8" t="s">
        <v>13</v>
      </c>
      <c r="C1" s="8" t="s">
        <v>12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</row>
    <row r="2" spans="1:10" x14ac:dyDescent="0.25">
      <c r="A2" s="9">
        <v>2</v>
      </c>
      <c r="B2" s="9" t="s">
        <v>26</v>
      </c>
      <c r="C2" s="9" t="s">
        <v>23</v>
      </c>
      <c r="D2" s="10">
        <v>848954</v>
      </c>
      <c r="E2" s="10">
        <v>1046141</v>
      </c>
      <c r="F2" s="10">
        <v>613511</v>
      </c>
      <c r="G2" s="10">
        <v>294819</v>
      </c>
      <c r="H2" s="10">
        <v>339538</v>
      </c>
      <c r="I2" s="10">
        <v>414922</v>
      </c>
      <c r="J2" s="10">
        <f>SUM(D2:I2)</f>
        <v>3557885</v>
      </c>
    </row>
    <row r="3" spans="1:10" x14ac:dyDescent="0.25">
      <c r="A3" s="9">
        <v>1</v>
      </c>
      <c r="B3" s="9" t="s">
        <v>22</v>
      </c>
      <c r="C3" s="9" t="s">
        <v>21</v>
      </c>
      <c r="D3" s="10">
        <v>1004444</v>
      </c>
      <c r="E3" s="10">
        <v>1143002</v>
      </c>
      <c r="F3" s="10">
        <v>227265</v>
      </c>
      <c r="G3" s="10">
        <v>255989</v>
      </c>
      <c r="H3" s="10">
        <v>208634</v>
      </c>
      <c r="I3" s="10">
        <v>230683</v>
      </c>
      <c r="J3" s="10">
        <f t="shared" ref="J3:J18" si="0">SUM(D3:I3)</f>
        <v>3070017</v>
      </c>
    </row>
    <row r="4" spans="1:10" x14ac:dyDescent="0.25">
      <c r="A4" s="9">
        <v>4</v>
      </c>
      <c r="B4" s="9" t="s">
        <v>28</v>
      </c>
      <c r="C4" s="9" t="s">
        <v>27</v>
      </c>
      <c r="D4" s="10">
        <v>1383340</v>
      </c>
      <c r="E4" s="10">
        <v>366100</v>
      </c>
      <c r="F4" s="10">
        <v>454543</v>
      </c>
      <c r="G4" s="10">
        <v>209356</v>
      </c>
      <c r="H4" s="10">
        <v>233300</v>
      </c>
      <c r="I4" s="10">
        <v>205974</v>
      </c>
      <c r="J4" s="10">
        <f t="shared" si="0"/>
        <v>2852613</v>
      </c>
    </row>
    <row r="5" spans="1:10" x14ac:dyDescent="0.25">
      <c r="A5" s="9">
        <v>3</v>
      </c>
      <c r="B5" s="9" t="s">
        <v>24</v>
      </c>
      <c r="C5" s="9" t="s">
        <v>31</v>
      </c>
      <c r="D5" s="10">
        <v>797378</v>
      </c>
      <c r="E5" s="10">
        <v>400042</v>
      </c>
      <c r="F5" s="10">
        <v>505802</v>
      </c>
      <c r="G5" s="10">
        <v>566832</v>
      </c>
      <c r="H5" s="10">
        <v>200042</v>
      </c>
      <c r="I5" s="10">
        <v>165003</v>
      </c>
      <c r="J5" s="10">
        <f t="shared" si="0"/>
        <v>2635099</v>
      </c>
    </row>
    <row r="6" spans="1:10" x14ac:dyDescent="0.25">
      <c r="A6" s="9">
        <v>7</v>
      </c>
      <c r="B6" s="9" t="s">
        <v>47</v>
      </c>
      <c r="C6" s="9" t="s">
        <v>25</v>
      </c>
      <c r="D6" s="10">
        <v>0</v>
      </c>
      <c r="E6" s="10">
        <v>1111211</v>
      </c>
      <c r="F6" s="10">
        <v>369773</v>
      </c>
      <c r="G6" s="10">
        <v>719233</v>
      </c>
      <c r="H6" s="10">
        <v>29561</v>
      </c>
      <c r="I6" s="10">
        <v>183271</v>
      </c>
      <c r="J6" s="10">
        <f t="shared" si="0"/>
        <v>2413049</v>
      </c>
    </row>
    <row r="7" spans="1:10" x14ac:dyDescent="0.25">
      <c r="A7" s="9">
        <v>5</v>
      </c>
      <c r="B7" s="9" t="s">
        <v>34</v>
      </c>
      <c r="C7" s="9" t="s">
        <v>29</v>
      </c>
      <c r="D7" s="10">
        <v>388176</v>
      </c>
      <c r="E7" s="10">
        <v>520087</v>
      </c>
      <c r="F7" s="10">
        <v>478500</v>
      </c>
      <c r="G7" s="10">
        <v>426100</v>
      </c>
      <c r="H7" s="10">
        <v>218337</v>
      </c>
      <c r="I7" s="10">
        <v>302304</v>
      </c>
      <c r="J7" s="10">
        <f t="shared" si="0"/>
        <v>2333504</v>
      </c>
    </row>
    <row r="8" spans="1:10" x14ac:dyDescent="0.25">
      <c r="A8" s="9">
        <v>6</v>
      </c>
      <c r="B8" s="9" t="s">
        <v>30</v>
      </c>
      <c r="C8" s="9" t="s">
        <v>35</v>
      </c>
      <c r="D8" s="10">
        <v>1226169</v>
      </c>
      <c r="E8" s="10">
        <v>546973</v>
      </c>
      <c r="F8" s="10">
        <v>28617</v>
      </c>
      <c r="G8" s="10">
        <v>81336</v>
      </c>
      <c r="H8" s="10">
        <v>140231</v>
      </c>
      <c r="I8" s="10">
        <v>75017</v>
      </c>
      <c r="J8" s="10">
        <f t="shared" si="0"/>
        <v>2098343</v>
      </c>
    </row>
    <row r="9" spans="1:10" x14ac:dyDescent="0.25">
      <c r="A9" s="9">
        <v>8</v>
      </c>
      <c r="B9" s="9" t="s">
        <v>42</v>
      </c>
      <c r="C9" s="9" t="s">
        <v>39</v>
      </c>
      <c r="D9" s="10">
        <v>244949</v>
      </c>
      <c r="E9" s="10">
        <v>200000</v>
      </c>
      <c r="F9" s="10">
        <v>180516</v>
      </c>
      <c r="G9" s="10">
        <v>190118</v>
      </c>
      <c r="H9" s="10">
        <v>606432</v>
      </c>
      <c r="I9" s="10">
        <v>364339</v>
      </c>
      <c r="J9" s="10">
        <f t="shared" si="0"/>
        <v>1786354</v>
      </c>
    </row>
    <row r="10" spans="1:10" x14ac:dyDescent="0.25">
      <c r="A10" s="9">
        <v>11</v>
      </c>
      <c r="B10" s="9" t="s">
        <v>48</v>
      </c>
      <c r="C10" s="9" t="s">
        <v>25</v>
      </c>
      <c r="D10" s="10">
        <v>0</v>
      </c>
      <c r="E10" s="10">
        <v>301735</v>
      </c>
      <c r="F10" s="10">
        <v>221685</v>
      </c>
      <c r="G10" s="10">
        <v>768577</v>
      </c>
      <c r="H10" s="10">
        <v>66190</v>
      </c>
      <c r="I10" s="10">
        <v>86286</v>
      </c>
      <c r="J10" s="10">
        <f t="shared" si="0"/>
        <v>1444473</v>
      </c>
    </row>
    <row r="11" spans="1:10" x14ac:dyDescent="0.25">
      <c r="A11" s="9">
        <v>10</v>
      </c>
      <c r="B11" s="9" t="s">
        <v>40</v>
      </c>
      <c r="C11" s="9" t="s">
        <v>41</v>
      </c>
      <c r="D11" s="10">
        <v>283163</v>
      </c>
      <c r="E11" s="10">
        <v>63073</v>
      </c>
      <c r="F11" s="10">
        <v>33935</v>
      </c>
      <c r="G11" s="10">
        <v>164406</v>
      </c>
      <c r="H11" s="10">
        <v>189025</v>
      </c>
      <c r="I11" s="10">
        <v>136246</v>
      </c>
      <c r="J11" s="10">
        <f t="shared" si="0"/>
        <v>869848</v>
      </c>
    </row>
    <row r="12" spans="1:10" x14ac:dyDescent="0.25">
      <c r="A12" s="9">
        <v>9</v>
      </c>
      <c r="B12" s="9" t="s">
        <v>38</v>
      </c>
      <c r="C12" s="9" t="s">
        <v>33</v>
      </c>
      <c r="D12" s="10">
        <v>268103</v>
      </c>
      <c r="E12" s="10">
        <v>82171</v>
      </c>
      <c r="F12" s="10">
        <v>101150</v>
      </c>
      <c r="G12" s="10">
        <v>137237</v>
      </c>
      <c r="H12" s="10">
        <v>147766</v>
      </c>
      <c r="I12" s="10">
        <v>118818</v>
      </c>
      <c r="J12" s="10">
        <f t="shared" si="0"/>
        <v>855245</v>
      </c>
    </row>
    <row r="13" spans="1:10" x14ac:dyDescent="0.25">
      <c r="A13" s="9">
        <v>13</v>
      </c>
      <c r="B13" s="9" t="s">
        <v>49</v>
      </c>
      <c r="C13" s="9" t="s">
        <v>25</v>
      </c>
      <c r="D13" s="10">
        <v>0</v>
      </c>
      <c r="E13" s="10">
        <v>185131</v>
      </c>
      <c r="F13" s="10">
        <v>136669</v>
      </c>
      <c r="G13" s="10">
        <v>274878</v>
      </c>
      <c r="H13" s="10">
        <v>7237</v>
      </c>
      <c r="I13" s="10">
        <v>99440</v>
      </c>
      <c r="J13" s="10">
        <f t="shared" si="0"/>
        <v>703355</v>
      </c>
    </row>
    <row r="14" spans="1:10" x14ac:dyDescent="0.25">
      <c r="A14" s="9">
        <v>12</v>
      </c>
      <c r="B14" s="9" t="s">
        <v>36</v>
      </c>
      <c r="C14" s="9" t="s">
        <v>43</v>
      </c>
      <c r="D14" s="10">
        <v>93620</v>
      </c>
      <c r="E14" s="10">
        <v>56003</v>
      </c>
      <c r="F14" s="10">
        <v>48142</v>
      </c>
      <c r="G14" s="10">
        <v>36045</v>
      </c>
      <c r="H14" s="10">
        <v>180643</v>
      </c>
      <c r="I14" s="10">
        <v>161061</v>
      </c>
      <c r="J14" s="10">
        <f t="shared" si="0"/>
        <v>575514</v>
      </c>
    </row>
    <row r="15" spans="1:10" x14ac:dyDescent="0.25">
      <c r="A15" s="9">
        <v>15</v>
      </c>
      <c r="B15" s="9" t="s">
        <v>51</v>
      </c>
      <c r="C15" s="9" t="s">
        <v>50</v>
      </c>
      <c r="D15" s="10">
        <v>0</v>
      </c>
      <c r="E15" s="10">
        <v>0</v>
      </c>
      <c r="F15" s="10">
        <v>0</v>
      </c>
      <c r="G15" s="10">
        <v>0</v>
      </c>
      <c r="H15" s="10">
        <v>193056</v>
      </c>
      <c r="I15" s="10">
        <v>0</v>
      </c>
      <c r="J15" s="10">
        <f t="shared" si="0"/>
        <v>193056</v>
      </c>
    </row>
    <row r="16" spans="1:10" x14ac:dyDescent="0.25">
      <c r="A16" s="9">
        <v>16</v>
      </c>
      <c r="B16" s="9" t="s">
        <v>52</v>
      </c>
      <c r="C16" s="9" t="s">
        <v>50</v>
      </c>
      <c r="D16" s="10">
        <v>0</v>
      </c>
      <c r="E16" s="10">
        <v>0</v>
      </c>
      <c r="F16" s="10">
        <v>0</v>
      </c>
      <c r="G16" s="10">
        <v>0</v>
      </c>
      <c r="H16" s="10">
        <v>158766</v>
      </c>
      <c r="I16" s="10">
        <v>0</v>
      </c>
      <c r="J16" s="10">
        <f t="shared" si="0"/>
        <v>158766</v>
      </c>
    </row>
    <row r="17" spans="1:10" x14ac:dyDescent="0.25">
      <c r="A17" s="9">
        <v>14</v>
      </c>
      <c r="B17" s="9" t="s">
        <v>44</v>
      </c>
      <c r="C17" s="9" t="s">
        <v>53</v>
      </c>
      <c r="D17" s="10">
        <v>72642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f t="shared" si="0"/>
        <v>72642</v>
      </c>
    </row>
    <row r="18" spans="1:10" x14ac:dyDescent="0.25">
      <c r="A18" s="9">
        <v>17</v>
      </c>
      <c r="B18" s="9" t="s">
        <v>55</v>
      </c>
      <c r="C18" s="9" t="s">
        <v>54</v>
      </c>
      <c r="D18" s="10">
        <v>0</v>
      </c>
      <c r="E18" s="10">
        <v>57234</v>
      </c>
      <c r="F18" s="10">
        <v>0</v>
      </c>
      <c r="G18" s="10">
        <v>0</v>
      </c>
      <c r="H18" s="10">
        <v>0</v>
      </c>
      <c r="I18" s="10">
        <v>0</v>
      </c>
      <c r="J18" s="10">
        <f t="shared" si="0"/>
        <v>57234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workbookViewId="0">
      <selection activeCell="J2" sqref="J2:J20"/>
    </sheetView>
  </sheetViews>
  <sheetFormatPr defaultRowHeight="15" x14ac:dyDescent="0.25"/>
  <cols>
    <col min="1" max="1" width="6" customWidth="1"/>
    <col min="2" max="2" width="12" customWidth="1"/>
    <col min="10" max="10" width="14" customWidth="1"/>
  </cols>
  <sheetData>
    <row r="1" spans="1:10" ht="16.5" x14ac:dyDescent="0.25">
      <c r="A1" s="8" t="s">
        <v>11</v>
      </c>
      <c r="B1" s="8" t="s">
        <v>13</v>
      </c>
      <c r="C1" s="8" t="s">
        <v>12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</row>
    <row r="2" spans="1:10" x14ac:dyDescent="0.25">
      <c r="A2" s="9">
        <v>1</v>
      </c>
      <c r="B2" s="9" t="s">
        <v>48</v>
      </c>
      <c r="C2" s="9" t="s">
        <v>31</v>
      </c>
      <c r="D2" s="10">
        <v>2015765</v>
      </c>
      <c r="E2" s="10">
        <v>1217452</v>
      </c>
      <c r="F2" s="10">
        <v>118391</v>
      </c>
      <c r="G2" s="10">
        <v>430253</v>
      </c>
      <c r="H2" s="10">
        <v>112521</v>
      </c>
      <c r="I2" s="10">
        <v>448014</v>
      </c>
      <c r="J2" s="10">
        <f>SUM(D2:I2)</f>
        <v>4342396</v>
      </c>
    </row>
    <row r="3" spans="1:10" x14ac:dyDescent="0.25">
      <c r="A3" s="9">
        <v>2</v>
      </c>
      <c r="B3" s="9" t="s">
        <v>22</v>
      </c>
      <c r="C3" s="9" t="s">
        <v>21</v>
      </c>
      <c r="D3" s="10">
        <v>2402902</v>
      </c>
      <c r="E3" s="10">
        <v>470776</v>
      </c>
      <c r="F3" s="10">
        <v>239501</v>
      </c>
      <c r="G3" s="10">
        <v>315848</v>
      </c>
      <c r="H3" s="10">
        <v>258453</v>
      </c>
      <c r="I3" s="10">
        <v>0</v>
      </c>
      <c r="J3" s="10">
        <f t="shared" ref="J3:J20" si="0">SUM(D3:I3)</f>
        <v>3687480</v>
      </c>
    </row>
    <row r="4" spans="1:10" x14ac:dyDescent="0.25">
      <c r="A4" s="9">
        <v>3</v>
      </c>
      <c r="B4" s="9" t="s">
        <v>34</v>
      </c>
      <c r="C4" s="9" t="s">
        <v>29</v>
      </c>
      <c r="D4" s="10">
        <v>1153003</v>
      </c>
      <c r="E4" s="10">
        <v>538285</v>
      </c>
      <c r="F4" s="10">
        <v>220411</v>
      </c>
      <c r="G4" s="10">
        <v>252855</v>
      </c>
      <c r="H4" s="10">
        <v>341910</v>
      </c>
      <c r="I4" s="10">
        <v>893159</v>
      </c>
      <c r="J4" s="10">
        <f t="shared" si="0"/>
        <v>3399623</v>
      </c>
    </row>
    <row r="5" spans="1:10" x14ac:dyDescent="0.25">
      <c r="A5" s="9">
        <v>5</v>
      </c>
      <c r="B5" s="9" t="s">
        <v>47</v>
      </c>
      <c r="C5" s="9" t="s">
        <v>35</v>
      </c>
      <c r="D5" s="10">
        <v>1067104</v>
      </c>
      <c r="E5" s="10">
        <v>81301</v>
      </c>
      <c r="F5" s="10">
        <v>72249</v>
      </c>
      <c r="G5" s="10">
        <v>156768</v>
      </c>
      <c r="H5" s="10">
        <v>88356</v>
      </c>
      <c r="I5" s="10">
        <v>548334</v>
      </c>
      <c r="J5" s="10">
        <f t="shared" si="0"/>
        <v>2014112</v>
      </c>
    </row>
    <row r="6" spans="1:10" x14ac:dyDescent="0.25">
      <c r="A6" s="9">
        <v>4</v>
      </c>
      <c r="B6" s="9" t="s">
        <v>26</v>
      </c>
      <c r="C6" s="9" t="s">
        <v>23</v>
      </c>
      <c r="D6" s="10">
        <v>1855686</v>
      </c>
      <c r="E6" s="10">
        <v>132032</v>
      </c>
      <c r="F6" s="10">
        <v>24963</v>
      </c>
      <c r="G6" s="10">
        <v>0</v>
      </c>
      <c r="H6" s="10">
        <v>0</v>
      </c>
      <c r="I6" s="10">
        <v>0</v>
      </c>
      <c r="J6" s="10">
        <f t="shared" si="0"/>
        <v>2012681</v>
      </c>
    </row>
    <row r="7" spans="1:10" x14ac:dyDescent="0.25">
      <c r="A7" s="9">
        <v>7</v>
      </c>
      <c r="B7" s="9" t="s">
        <v>42</v>
      </c>
      <c r="C7" s="9" t="s">
        <v>33</v>
      </c>
      <c r="D7" s="10">
        <v>812036</v>
      </c>
      <c r="E7" s="10">
        <v>154098</v>
      </c>
      <c r="F7" s="10">
        <v>150131</v>
      </c>
      <c r="G7" s="10">
        <v>209356</v>
      </c>
      <c r="H7" s="10">
        <v>220528</v>
      </c>
      <c r="I7" s="10">
        <v>296743</v>
      </c>
      <c r="J7" s="10">
        <f t="shared" si="0"/>
        <v>1842892</v>
      </c>
    </row>
    <row r="8" spans="1:10" x14ac:dyDescent="0.25">
      <c r="A8" s="9">
        <v>6</v>
      </c>
      <c r="B8" s="9" t="s">
        <v>24</v>
      </c>
      <c r="C8" s="9" t="s">
        <v>27</v>
      </c>
      <c r="D8" s="10">
        <v>1638477</v>
      </c>
      <c r="E8" s="10">
        <v>194916</v>
      </c>
      <c r="F8" s="10">
        <v>0</v>
      </c>
      <c r="G8" s="10">
        <v>0</v>
      </c>
      <c r="H8" s="10">
        <v>0</v>
      </c>
      <c r="I8" s="10">
        <v>0</v>
      </c>
      <c r="J8" s="10">
        <f t="shared" si="0"/>
        <v>1833393</v>
      </c>
    </row>
    <row r="9" spans="1:10" x14ac:dyDescent="0.25">
      <c r="A9" s="9">
        <v>8</v>
      </c>
      <c r="B9" s="9" t="s">
        <v>28</v>
      </c>
      <c r="C9" s="9" t="s">
        <v>41</v>
      </c>
      <c r="D9" s="10">
        <v>446051</v>
      </c>
      <c r="E9" s="10">
        <v>126929</v>
      </c>
      <c r="F9" s="10">
        <v>347099</v>
      </c>
      <c r="G9" s="10">
        <v>121396</v>
      </c>
      <c r="H9" s="10">
        <v>188399</v>
      </c>
      <c r="I9" s="10">
        <v>303928</v>
      </c>
      <c r="J9" s="10">
        <f t="shared" si="0"/>
        <v>1533802</v>
      </c>
    </row>
    <row r="10" spans="1:10" x14ac:dyDescent="0.25">
      <c r="A10" s="9">
        <v>12</v>
      </c>
      <c r="B10" s="9" t="s">
        <v>56</v>
      </c>
      <c r="C10" s="9" t="s">
        <v>25</v>
      </c>
      <c r="D10" s="10">
        <v>0</v>
      </c>
      <c r="E10" s="10">
        <v>171983</v>
      </c>
      <c r="F10" s="10">
        <v>162106</v>
      </c>
      <c r="G10" s="10">
        <v>130325</v>
      </c>
      <c r="H10" s="10">
        <v>138036</v>
      </c>
      <c r="I10" s="10">
        <v>448048</v>
      </c>
      <c r="J10" s="10">
        <f t="shared" si="0"/>
        <v>1050498</v>
      </c>
    </row>
    <row r="11" spans="1:10" x14ac:dyDescent="0.25">
      <c r="A11" s="9">
        <v>10</v>
      </c>
      <c r="B11" s="9" t="s">
        <v>36</v>
      </c>
      <c r="C11" s="9" t="s">
        <v>45</v>
      </c>
      <c r="D11" s="10">
        <v>527723</v>
      </c>
      <c r="E11" s="10">
        <v>52136</v>
      </c>
      <c r="F11" s="10">
        <v>83524</v>
      </c>
      <c r="G11" s="10">
        <v>81409</v>
      </c>
      <c r="H11" s="10">
        <v>67477</v>
      </c>
      <c r="I11" s="10">
        <v>227979</v>
      </c>
      <c r="J11" s="10">
        <f t="shared" si="0"/>
        <v>1040248</v>
      </c>
    </row>
    <row r="12" spans="1:10" x14ac:dyDescent="0.25">
      <c r="A12" s="9">
        <v>9</v>
      </c>
      <c r="B12" s="9" t="s">
        <v>30</v>
      </c>
      <c r="C12" s="9" t="s">
        <v>37</v>
      </c>
      <c r="D12" s="10">
        <v>288846</v>
      </c>
      <c r="E12" s="10">
        <v>0</v>
      </c>
      <c r="F12" s="10">
        <v>100488</v>
      </c>
      <c r="G12" s="10">
        <v>148155</v>
      </c>
      <c r="H12" s="10">
        <v>231835</v>
      </c>
      <c r="I12" s="10">
        <v>0</v>
      </c>
      <c r="J12" s="10">
        <f t="shared" si="0"/>
        <v>769324</v>
      </c>
    </row>
    <row r="13" spans="1:10" x14ac:dyDescent="0.25">
      <c r="A13" s="9">
        <v>11</v>
      </c>
      <c r="B13" s="9" t="s">
        <v>40</v>
      </c>
      <c r="C13" s="9" t="s">
        <v>39</v>
      </c>
      <c r="D13" s="10">
        <v>455663</v>
      </c>
      <c r="E13" s="10">
        <v>117634</v>
      </c>
      <c r="F13" s="10">
        <v>35134</v>
      </c>
      <c r="G13" s="10">
        <v>32992</v>
      </c>
      <c r="H13" s="10">
        <v>48237</v>
      </c>
      <c r="I13" s="10">
        <v>0</v>
      </c>
      <c r="J13" s="10">
        <f t="shared" si="0"/>
        <v>689660</v>
      </c>
    </row>
    <row r="14" spans="1:10" x14ac:dyDescent="0.25">
      <c r="A14" s="9">
        <v>13</v>
      </c>
      <c r="B14" s="9" t="s">
        <v>38</v>
      </c>
      <c r="C14" s="9" t="s">
        <v>57</v>
      </c>
      <c r="D14" s="10">
        <v>440021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f t="shared" si="0"/>
        <v>440021</v>
      </c>
    </row>
    <row r="15" spans="1:10" x14ac:dyDescent="0.25">
      <c r="A15" s="9">
        <v>15</v>
      </c>
      <c r="B15" s="9" t="s">
        <v>59</v>
      </c>
      <c r="C15" s="9" t="s">
        <v>58</v>
      </c>
      <c r="D15" s="10">
        <v>0</v>
      </c>
      <c r="E15" s="10">
        <v>0</v>
      </c>
      <c r="F15" s="10">
        <v>426025</v>
      </c>
      <c r="G15" s="10">
        <v>0</v>
      </c>
      <c r="H15" s="10">
        <v>0</v>
      </c>
      <c r="I15" s="10">
        <v>0</v>
      </c>
      <c r="J15" s="10">
        <f t="shared" si="0"/>
        <v>426025</v>
      </c>
    </row>
    <row r="16" spans="1:10" x14ac:dyDescent="0.25">
      <c r="A16" s="9">
        <v>14</v>
      </c>
      <c r="B16" s="9" t="s">
        <v>49</v>
      </c>
      <c r="C16" s="9" t="s">
        <v>53</v>
      </c>
      <c r="D16" s="10">
        <v>341917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f t="shared" si="0"/>
        <v>341917</v>
      </c>
    </row>
    <row r="17" spans="1:10" x14ac:dyDescent="0.25">
      <c r="A17" s="9">
        <v>16</v>
      </c>
      <c r="B17" s="9" t="s">
        <v>61</v>
      </c>
      <c r="C17" s="9" t="s">
        <v>60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109625</v>
      </c>
      <c r="J17" s="10">
        <f t="shared" si="0"/>
        <v>109625</v>
      </c>
    </row>
    <row r="18" spans="1:10" x14ac:dyDescent="0.25">
      <c r="A18" s="9">
        <v>17</v>
      </c>
      <c r="B18" s="9" t="s">
        <v>62</v>
      </c>
      <c r="C18" s="9" t="s">
        <v>37</v>
      </c>
      <c r="D18" s="10">
        <v>0</v>
      </c>
      <c r="E18" s="10">
        <v>0</v>
      </c>
      <c r="F18" s="10">
        <v>0</v>
      </c>
      <c r="G18" s="10">
        <v>82062</v>
      </c>
      <c r="H18" s="10">
        <v>0</v>
      </c>
      <c r="I18" s="10">
        <v>0</v>
      </c>
      <c r="J18" s="10">
        <f t="shared" si="0"/>
        <v>82062</v>
      </c>
    </row>
    <row r="19" spans="1:10" x14ac:dyDescent="0.25">
      <c r="A19" s="9">
        <v>18</v>
      </c>
      <c r="B19" s="9" t="s">
        <v>64</v>
      </c>
      <c r="C19" s="9" t="s">
        <v>63</v>
      </c>
      <c r="D19" s="10">
        <v>0</v>
      </c>
      <c r="E19" s="10">
        <v>0</v>
      </c>
      <c r="F19" s="10">
        <v>25132</v>
      </c>
      <c r="G19" s="10">
        <v>8342</v>
      </c>
      <c r="H19" s="10">
        <v>3622</v>
      </c>
      <c r="I19" s="10">
        <v>0</v>
      </c>
      <c r="J19" s="10">
        <f t="shared" si="0"/>
        <v>37096</v>
      </c>
    </row>
    <row r="20" spans="1:10" x14ac:dyDescent="0.25">
      <c r="A20" s="9">
        <v>19</v>
      </c>
      <c r="B20" s="9" t="s">
        <v>65</v>
      </c>
      <c r="C20" s="9" t="s">
        <v>63</v>
      </c>
      <c r="D20" s="10">
        <v>0</v>
      </c>
      <c r="E20" s="10">
        <v>0</v>
      </c>
      <c r="F20" s="10">
        <v>6202</v>
      </c>
      <c r="G20" s="10">
        <v>6441</v>
      </c>
      <c r="H20" s="10">
        <v>4202</v>
      </c>
      <c r="I20" s="10">
        <v>0</v>
      </c>
      <c r="J20" s="10">
        <f t="shared" si="0"/>
        <v>16845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"/>
  <sheetViews>
    <sheetView workbookViewId="0">
      <selection activeCell="J2" sqref="J2:J15"/>
    </sheetView>
  </sheetViews>
  <sheetFormatPr defaultRowHeight="15" x14ac:dyDescent="0.25"/>
  <cols>
    <col min="1" max="1" width="6" customWidth="1"/>
    <col min="2" max="2" width="12" customWidth="1"/>
    <col min="10" max="10" width="14" customWidth="1"/>
  </cols>
  <sheetData>
    <row r="1" spans="1:10" ht="16.5" x14ac:dyDescent="0.25">
      <c r="A1" s="8" t="s">
        <v>11</v>
      </c>
      <c r="B1" s="8" t="s">
        <v>13</v>
      </c>
      <c r="C1" s="8" t="s">
        <v>12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</row>
    <row r="2" spans="1:10" x14ac:dyDescent="0.25">
      <c r="A2" s="9">
        <v>1</v>
      </c>
      <c r="B2" s="9" t="s">
        <v>48</v>
      </c>
      <c r="C2" s="9" t="s">
        <v>21</v>
      </c>
      <c r="D2" s="10">
        <v>567126</v>
      </c>
      <c r="E2" s="10">
        <v>390782</v>
      </c>
      <c r="F2" s="10">
        <v>453510</v>
      </c>
      <c r="G2" s="10">
        <v>900000</v>
      </c>
      <c r="H2" s="10">
        <v>226818</v>
      </c>
      <c r="I2" s="10">
        <v>212378</v>
      </c>
      <c r="J2" s="10">
        <f>SUM(D2:I2)</f>
        <v>2750614</v>
      </c>
    </row>
    <row r="3" spans="1:10" x14ac:dyDescent="0.25">
      <c r="A3" s="9">
        <v>3</v>
      </c>
      <c r="B3" s="9" t="s">
        <v>47</v>
      </c>
      <c r="C3" s="9" t="s">
        <v>31</v>
      </c>
      <c r="D3" s="10">
        <v>641703</v>
      </c>
      <c r="E3" s="10">
        <v>255893</v>
      </c>
      <c r="F3" s="10">
        <v>234709</v>
      </c>
      <c r="G3" s="10">
        <v>492569</v>
      </c>
      <c r="H3" s="10">
        <v>84974</v>
      </c>
      <c r="I3" s="10">
        <v>380703</v>
      </c>
      <c r="J3" s="10">
        <f t="shared" ref="J3:J15" si="0">SUM(D3:I3)</f>
        <v>2090551</v>
      </c>
    </row>
    <row r="4" spans="1:10" x14ac:dyDescent="0.25">
      <c r="A4" s="9">
        <v>2</v>
      </c>
      <c r="B4" s="9" t="s">
        <v>34</v>
      </c>
      <c r="C4" s="9" t="s">
        <v>23</v>
      </c>
      <c r="D4" s="10">
        <v>186355</v>
      </c>
      <c r="E4" s="10">
        <v>271267</v>
      </c>
      <c r="F4" s="10">
        <v>332000</v>
      </c>
      <c r="G4" s="10">
        <v>327743</v>
      </c>
      <c r="H4" s="10">
        <v>214485</v>
      </c>
      <c r="I4" s="10">
        <v>507803</v>
      </c>
      <c r="J4" s="10">
        <f t="shared" si="0"/>
        <v>1839653</v>
      </c>
    </row>
    <row r="5" spans="1:10" x14ac:dyDescent="0.25">
      <c r="A5" s="9">
        <v>6</v>
      </c>
      <c r="B5" s="9" t="s">
        <v>36</v>
      </c>
      <c r="C5" s="9" t="s">
        <v>33</v>
      </c>
      <c r="D5" s="10">
        <v>64442</v>
      </c>
      <c r="E5" s="10">
        <v>89772</v>
      </c>
      <c r="F5" s="10">
        <v>47062</v>
      </c>
      <c r="G5" s="10">
        <v>397685</v>
      </c>
      <c r="H5" s="10">
        <v>285255</v>
      </c>
      <c r="I5" s="10">
        <v>411176</v>
      </c>
      <c r="J5" s="10">
        <f t="shared" si="0"/>
        <v>1295392</v>
      </c>
    </row>
    <row r="6" spans="1:10" x14ac:dyDescent="0.25">
      <c r="A6" s="9">
        <v>4</v>
      </c>
      <c r="B6" s="9" t="s">
        <v>28</v>
      </c>
      <c r="C6" s="9" t="s">
        <v>27</v>
      </c>
      <c r="D6" s="10">
        <v>474258</v>
      </c>
      <c r="E6" s="10">
        <v>120418</v>
      </c>
      <c r="F6" s="10">
        <v>156210</v>
      </c>
      <c r="G6" s="10">
        <v>141816</v>
      </c>
      <c r="H6" s="10">
        <v>108489</v>
      </c>
      <c r="I6" s="10">
        <v>230053</v>
      </c>
      <c r="J6" s="10">
        <f t="shared" si="0"/>
        <v>1231244</v>
      </c>
    </row>
    <row r="7" spans="1:10" x14ac:dyDescent="0.25">
      <c r="A7" s="9">
        <v>5</v>
      </c>
      <c r="B7" s="9" t="s">
        <v>56</v>
      </c>
      <c r="C7" s="9" t="s">
        <v>35</v>
      </c>
      <c r="D7" s="10">
        <v>337470</v>
      </c>
      <c r="E7" s="10">
        <v>147690</v>
      </c>
      <c r="F7" s="10">
        <v>181176</v>
      </c>
      <c r="G7" s="10">
        <v>175467</v>
      </c>
      <c r="H7" s="10">
        <v>151217</v>
      </c>
      <c r="I7" s="10">
        <v>231537</v>
      </c>
      <c r="J7" s="10">
        <f t="shared" si="0"/>
        <v>1224557</v>
      </c>
    </row>
    <row r="8" spans="1:10" x14ac:dyDescent="0.25">
      <c r="A8" s="9">
        <v>7</v>
      </c>
      <c r="B8" s="9" t="s">
        <v>42</v>
      </c>
      <c r="C8" s="9" t="s">
        <v>29</v>
      </c>
      <c r="D8" s="10">
        <v>154970</v>
      </c>
      <c r="E8" s="10">
        <v>43143</v>
      </c>
      <c r="F8" s="10">
        <v>95729</v>
      </c>
      <c r="G8" s="10">
        <v>65148</v>
      </c>
      <c r="H8" s="10">
        <v>70544</v>
      </c>
      <c r="I8" s="10">
        <v>78947</v>
      </c>
      <c r="J8" s="10">
        <f t="shared" si="0"/>
        <v>508481</v>
      </c>
    </row>
    <row r="9" spans="1:10" x14ac:dyDescent="0.25">
      <c r="A9" s="9">
        <v>9</v>
      </c>
      <c r="B9" s="9" t="s">
        <v>67</v>
      </c>
      <c r="C9" s="9" t="s">
        <v>66</v>
      </c>
      <c r="D9" s="10">
        <v>0</v>
      </c>
      <c r="E9" s="10">
        <v>362897</v>
      </c>
      <c r="F9" s="10">
        <v>0</v>
      </c>
      <c r="G9" s="10">
        <v>0</v>
      </c>
      <c r="H9" s="10">
        <v>0</v>
      </c>
      <c r="I9" s="10">
        <v>0</v>
      </c>
      <c r="J9" s="10">
        <f t="shared" si="0"/>
        <v>362897</v>
      </c>
    </row>
    <row r="10" spans="1:10" x14ac:dyDescent="0.25">
      <c r="A10" s="9">
        <v>8</v>
      </c>
      <c r="B10" s="9" t="s">
        <v>61</v>
      </c>
      <c r="C10" s="9" t="s">
        <v>41</v>
      </c>
      <c r="D10" s="10">
        <v>134829</v>
      </c>
      <c r="E10" s="10">
        <v>51131</v>
      </c>
      <c r="F10" s="10">
        <v>45555</v>
      </c>
      <c r="G10" s="10">
        <v>73880</v>
      </c>
      <c r="H10" s="10">
        <v>31318</v>
      </c>
      <c r="I10" s="10">
        <v>1005</v>
      </c>
      <c r="J10" s="10">
        <f t="shared" si="0"/>
        <v>337718</v>
      </c>
    </row>
    <row r="11" spans="1:10" x14ac:dyDescent="0.25">
      <c r="A11" s="9">
        <v>10</v>
      </c>
      <c r="B11" s="9" t="s">
        <v>59</v>
      </c>
      <c r="C11" s="9" t="s">
        <v>58</v>
      </c>
      <c r="D11" s="10">
        <v>0</v>
      </c>
      <c r="E11" s="10">
        <v>172942</v>
      </c>
      <c r="F11" s="10">
        <v>0</v>
      </c>
      <c r="G11" s="10">
        <v>0</v>
      </c>
      <c r="H11" s="10">
        <v>0</v>
      </c>
      <c r="I11" s="10">
        <v>161193</v>
      </c>
      <c r="J11" s="10">
        <f t="shared" si="0"/>
        <v>334135</v>
      </c>
    </row>
    <row r="12" spans="1:10" x14ac:dyDescent="0.25">
      <c r="A12" s="9">
        <v>11</v>
      </c>
      <c r="B12" s="9" t="s">
        <v>68</v>
      </c>
      <c r="C12" s="9" t="s">
        <v>25</v>
      </c>
      <c r="D12" s="10">
        <v>0</v>
      </c>
      <c r="E12" s="10">
        <v>77449</v>
      </c>
      <c r="F12" s="10">
        <v>91508</v>
      </c>
      <c r="G12" s="10">
        <v>52388</v>
      </c>
      <c r="H12" s="10">
        <v>25690</v>
      </c>
      <c r="I12" s="10">
        <v>59317</v>
      </c>
      <c r="J12" s="10">
        <f t="shared" si="0"/>
        <v>306352</v>
      </c>
    </row>
    <row r="13" spans="1:10" x14ac:dyDescent="0.25">
      <c r="A13" s="9">
        <v>12</v>
      </c>
      <c r="B13" s="9" t="s">
        <v>69</v>
      </c>
      <c r="C13" s="9" t="s">
        <v>25</v>
      </c>
      <c r="D13" s="10">
        <v>0</v>
      </c>
      <c r="E13" s="10">
        <v>52301</v>
      </c>
      <c r="F13" s="10">
        <v>64926</v>
      </c>
      <c r="G13" s="10">
        <v>49817</v>
      </c>
      <c r="H13" s="10">
        <v>18068</v>
      </c>
      <c r="I13" s="10">
        <v>40177</v>
      </c>
      <c r="J13" s="10">
        <f t="shared" si="0"/>
        <v>225289</v>
      </c>
    </row>
    <row r="14" spans="1:10" x14ac:dyDescent="0.25">
      <c r="A14" s="9">
        <v>13</v>
      </c>
      <c r="B14" s="9" t="s">
        <v>64</v>
      </c>
      <c r="C14" s="9" t="s">
        <v>63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10000</v>
      </c>
      <c r="J14" s="10">
        <f t="shared" si="0"/>
        <v>10000</v>
      </c>
    </row>
    <row r="15" spans="1:10" x14ac:dyDescent="0.25">
      <c r="A15" s="9">
        <v>14</v>
      </c>
      <c r="B15" s="9" t="s">
        <v>65</v>
      </c>
      <c r="C15" s="9" t="s">
        <v>63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10000</v>
      </c>
      <c r="J15" s="10">
        <f t="shared" si="0"/>
        <v>10000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"/>
  <sheetViews>
    <sheetView workbookViewId="0">
      <selection activeCell="N20" sqref="N20"/>
    </sheetView>
  </sheetViews>
  <sheetFormatPr defaultRowHeight="15" x14ac:dyDescent="0.25"/>
  <cols>
    <col min="1" max="1" width="6" customWidth="1"/>
    <col min="2" max="2" width="12" customWidth="1"/>
    <col min="3" max="3" width="14" customWidth="1"/>
    <col min="4" max="4" width="12" customWidth="1"/>
    <col min="10" max="10" width="14" style="19" customWidth="1"/>
  </cols>
  <sheetData>
    <row r="1" spans="1:10" ht="16.5" x14ac:dyDescent="0.25">
      <c r="A1" s="8" t="s">
        <v>11</v>
      </c>
      <c r="B1" s="8" t="s">
        <v>13</v>
      </c>
      <c r="C1" s="8" t="s">
        <v>12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17" t="s">
        <v>20</v>
      </c>
    </row>
    <row r="2" spans="1:10" x14ac:dyDescent="0.25">
      <c r="A2" s="9">
        <v>1</v>
      </c>
      <c r="B2" s="9" t="s">
        <v>34</v>
      </c>
      <c r="C2" s="9" t="s">
        <v>23</v>
      </c>
      <c r="D2" s="10">
        <v>969739</v>
      </c>
      <c r="E2" s="10">
        <v>757300</v>
      </c>
      <c r="F2" s="10">
        <v>369106</v>
      </c>
      <c r="G2" s="10">
        <v>315077</v>
      </c>
      <c r="H2" s="10">
        <v>374570</v>
      </c>
      <c r="I2" s="10">
        <v>522076</v>
      </c>
      <c r="J2" s="18">
        <f>SUM(D2:I2)</f>
        <v>3307868</v>
      </c>
    </row>
    <row r="3" spans="1:10" x14ac:dyDescent="0.25">
      <c r="A3" s="9">
        <v>2</v>
      </c>
      <c r="B3" s="9" t="s">
        <v>48</v>
      </c>
      <c r="C3" s="9" t="s">
        <v>21</v>
      </c>
      <c r="D3" s="10">
        <v>909238</v>
      </c>
      <c r="E3" s="10">
        <v>260742</v>
      </c>
      <c r="F3" s="10">
        <v>307526</v>
      </c>
      <c r="G3" s="10">
        <v>350999</v>
      </c>
      <c r="H3" s="10">
        <v>300461</v>
      </c>
      <c r="I3" s="10">
        <v>671288</v>
      </c>
      <c r="J3" s="18">
        <f t="shared" ref="J3:J18" si="0">SUM(D3:I3)</f>
        <v>2800254</v>
      </c>
    </row>
    <row r="4" spans="1:10" x14ac:dyDescent="0.25">
      <c r="A4" s="9">
        <v>4</v>
      </c>
      <c r="B4" s="9" t="s">
        <v>56</v>
      </c>
      <c r="C4" s="9" t="s">
        <v>27</v>
      </c>
      <c r="D4" s="10">
        <v>801888</v>
      </c>
      <c r="E4" s="10">
        <v>461974</v>
      </c>
      <c r="F4" s="10">
        <v>534392</v>
      </c>
      <c r="G4" s="10">
        <v>217950</v>
      </c>
      <c r="H4" s="10">
        <v>191753</v>
      </c>
      <c r="I4" s="10">
        <v>384754</v>
      </c>
      <c r="J4" s="18">
        <f t="shared" si="0"/>
        <v>2592711</v>
      </c>
    </row>
    <row r="5" spans="1:10" x14ac:dyDescent="0.25">
      <c r="A5" s="9">
        <v>3</v>
      </c>
      <c r="B5" s="9" t="s">
        <v>47</v>
      </c>
      <c r="C5" s="9" t="s">
        <v>31</v>
      </c>
      <c r="D5" s="10">
        <v>486050</v>
      </c>
      <c r="E5" s="10">
        <v>229580</v>
      </c>
      <c r="F5" s="10">
        <v>569214</v>
      </c>
      <c r="G5" s="10">
        <v>258061</v>
      </c>
      <c r="H5" s="10">
        <v>130462</v>
      </c>
      <c r="I5" s="10">
        <v>681976</v>
      </c>
      <c r="J5" s="18">
        <f t="shared" si="0"/>
        <v>2355343</v>
      </c>
    </row>
    <row r="6" spans="1:10" x14ac:dyDescent="0.25">
      <c r="A6" s="9">
        <v>7</v>
      </c>
      <c r="B6" s="9" t="s">
        <v>24</v>
      </c>
      <c r="C6" s="9" t="s">
        <v>70</v>
      </c>
      <c r="D6" s="10">
        <v>0</v>
      </c>
      <c r="E6" s="10">
        <v>761545</v>
      </c>
      <c r="F6" s="10">
        <v>181511</v>
      </c>
      <c r="G6" s="10">
        <v>63830</v>
      </c>
      <c r="H6" s="10">
        <v>430222</v>
      </c>
      <c r="I6" s="10">
        <v>538134</v>
      </c>
      <c r="J6" s="18">
        <f t="shared" si="0"/>
        <v>1975242</v>
      </c>
    </row>
    <row r="7" spans="1:10" x14ac:dyDescent="0.25">
      <c r="A7" s="9">
        <v>6</v>
      </c>
      <c r="B7" s="9" t="s">
        <v>28</v>
      </c>
      <c r="C7" s="9" t="s">
        <v>29</v>
      </c>
      <c r="D7" s="10">
        <v>593840</v>
      </c>
      <c r="E7" s="10">
        <v>125947</v>
      </c>
      <c r="F7" s="10">
        <v>205075</v>
      </c>
      <c r="G7" s="10">
        <v>120215</v>
      </c>
      <c r="H7" s="10">
        <v>93062</v>
      </c>
      <c r="I7" s="10">
        <v>504379</v>
      </c>
      <c r="J7" s="18">
        <f t="shared" si="0"/>
        <v>1642518</v>
      </c>
    </row>
    <row r="8" spans="1:10" x14ac:dyDescent="0.25">
      <c r="A8" s="9">
        <v>5</v>
      </c>
      <c r="B8" s="9" t="s">
        <v>36</v>
      </c>
      <c r="C8" s="9" t="s">
        <v>35</v>
      </c>
      <c r="D8" s="10">
        <v>268297</v>
      </c>
      <c r="E8" s="10">
        <v>170081</v>
      </c>
      <c r="F8" s="10">
        <v>198291</v>
      </c>
      <c r="G8" s="10">
        <v>153949</v>
      </c>
      <c r="H8" s="10">
        <v>247185</v>
      </c>
      <c r="I8" s="10">
        <v>271705</v>
      </c>
      <c r="J8" s="18">
        <f t="shared" si="0"/>
        <v>1309508</v>
      </c>
    </row>
    <row r="9" spans="1:10" x14ac:dyDescent="0.25">
      <c r="A9" s="9">
        <v>8</v>
      </c>
      <c r="B9" s="9" t="s">
        <v>42</v>
      </c>
      <c r="C9" s="9" t="s">
        <v>33</v>
      </c>
      <c r="D9" s="10">
        <v>96384</v>
      </c>
      <c r="E9" s="10">
        <v>150493</v>
      </c>
      <c r="F9" s="10">
        <v>190373</v>
      </c>
      <c r="G9" s="10">
        <v>100159</v>
      </c>
      <c r="H9" s="10">
        <v>169446</v>
      </c>
      <c r="I9" s="10">
        <v>276028</v>
      </c>
      <c r="J9" s="18">
        <f t="shared" si="0"/>
        <v>982883</v>
      </c>
    </row>
    <row r="10" spans="1:10" x14ac:dyDescent="0.25">
      <c r="A10" s="9">
        <v>10</v>
      </c>
      <c r="B10" s="9" t="s">
        <v>59</v>
      </c>
      <c r="C10" s="9" t="s">
        <v>58</v>
      </c>
      <c r="D10" s="10">
        <v>0</v>
      </c>
      <c r="E10" s="10">
        <v>324039</v>
      </c>
      <c r="F10" s="10">
        <v>0</v>
      </c>
      <c r="G10" s="10">
        <v>359629</v>
      </c>
      <c r="H10" s="10">
        <v>0</v>
      </c>
      <c r="I10" s="10">
        <v>0</v>
      </c>
      <c r="J10" s="18">
        <f t="shared" si="0"/>
        <v>683668</v>
      </c>
    </row>
    <row r="11" spans="1:10" x14ac:dyDescent="0.25">
      <c r="A11" s="9">
        <v>9</v>
      </c>
      <c r="B11" s="9" t="s">
        <v>68</v>
      </c>
      <c r="C11" s="9" t="s">
        <v>41</v>
      </c>
      <c r="D11" s="10">
        <v>53703</v>
      </c>
      <c r="E11" s="10">
        <v>32859</v>
      </c>
      <c r="F11" s="10">
        <v>25217</v>
      </c>
      <c r="G11" s="10">
        <v>60155</v>
      </c>
      <c r="H11" s="10">
        <v>53819</v>
      </c>
      <c r="I11" s="10">
        <v>375906</v>
      </c>
      <c r="J11" s="18">
        <f t="shared" si="0"/>
        <v>601659</v>
      </c>
    </row>
    <row r="12" spans="1:10" x14ac:dyDescent="0.25">
      <c r="A12" s="9">
        <v>11</v>
      </c>
      <c r="B12" s="9" t="s">
        <v>71</v>
      </c>
      <c r="C12" s="9" t="s">
        <v>25</v>
      </c>
      <c r="D12" s="10">
        <v>0</v>
      </c>
      <c r="E12" s="10">
        <v>0</v>
      </c>
      <c r="F12" s="10">
        <v>252873</v>
      </c>
      <c r="G12" s="10">
        <v>64000</v>
      </c>
      <c r="H12" s="10">
        <v>57070</v>
      </c>
      <c r="I12" s="10">
        <v>68623</v>
      </c>
      <c r="J12" s="18">
        <f t="shared" si="0"/>
        <v>442566</v>
      </c>
    </row>
    <row r="13" spans="1:10" x14ac:dyDescent="0.25">
      <c r="A13" s="9">
        <v>12</v>
      </c>
      <c r="B13" s="9" t="s">
        <v>73</v>
      </c>
      <c r="C13" s="9" t="s">
        <v>72</v>
      </c>
      <c r="D13" s="10">
        <v>34213</v>
      </c>
      <c r="E13" s="10">
        <v>113493</v>
      </c>
      <c r="F13" s="10">
        <v>57057</v>
      </c>
      <c r="G13" s="10">
        <v>61201</v>
      </c>
      <c r="H13" s="10">
        <v>30004</v>
      </c>
      <c r="I13" s="10">
        <v>52373</v>
      </c>
      <c r="J13" s="18">
        <f t="shared" si="0"/>
        <v>348341</v>
      </c>
    </row>
    <row r="14" spans="1:10" x14ac:dyDescent="0.25">
      <c r="A14" s="9">
        <v>13</v>
      </c>
      <c r="B14" s="9" t="s">
        <v>74</v>
      </c>
      <c r="C14" s="9" t="s">
        <v>25</v>
      </c>
      <c r="D14" s="10">
        <v>0</v>
      </c>
      <c r="E14" s="10">
        <v>0</v>
      </c>
      <c r="F14" s="10">
        <v>100171</v>
      </c>
      <c r="G14" s="10">
        <v>93398</v>
      </c>
      <c r="H14" s="10">
        <v>44679</v>
      </c>
      <c r="I14" s="10">
        <v>53071</v>
      </c>
      <c r="J14" s="18">
        <f t="shared" si="0"/>
        <v>291319</v>
      </c>
    </row>
    <row r="15" spans="1:10" x14ac:dyDescent="0.25">
      <c r="A15" s="9">
        <v>16</v>
      </c>
      <c r="B15" s="9" t="s">
        <v>64</v>
      </c>
      <c r="C15" s="9" t="s">
        <v>63</v>
      </c>
      <c r="D15" s="10">
        <v>0</v>
      </c>
      <c r="E15" s="10">
        <v>0</v>
      </c>
      <c r="F15" s="10">
        <v>0</v>
      </c>
      <c r="G15" s="10">
        <v>41548</v>
      </c>
      <c r="H15" s="10">
        <v>0</v>
      </c>
      <c r="I15" s="10">
        <v>0</v>
      </c>
      <c r="J15" s="18">
        <f t="shared" si="0"/>
        <v>41548</v>
      </c>
    </row>
    <row r="16" spans="1:10" x14ac:dyDescent="0.25">
      <c r="A16" s="9">
        <v>17</v>
      </c>
      <c r="B16" s="9" t="s">
        <v>65</v>
      </c>
      <c r="C16" s="9" t="s">
        <v>63</v>
      </c>
      <c r="D16" s="10">
        <v>0</v>
      </c>
      <c r="E16" s="10">
        <v>0</v>
      </c>
      <c r="F16" s="10">
        <v>0</v>
      </c>
      <c r="G16" s="10">
        <v>40000</v>
      </c>
      <c r="H16" s="10">
        <v>0</v>
      </c>
      <c r="I16" s="10">
        <v>0</v>
      </c>
      <c r="J16" s="18">
        <f t="shared" si="0"/>
        <v>40000</v>
      </c>
    </row>
    <row r="17" spans="1:10" x14ac:dyDescent="0.25">
      <c r="A17" s="9">
        <v>14</v>
      </c>
      <c r="B17" s="9" t="s">
        <v>69</v>
      </c>
      <c r="C17" s="9" t="s">
        <v>75</v>
      </c>
      <c r="D17" s="10">
        <v>11369</v>
      </c>
      <c r="E17" s="10">
        <v>12104</v>
      </c>
      <c r="F17" s="10">
        <v>5289</v>
      </c>
      <c r="G17" s="10">
        <v>0</v>
      </c>
      <c r="H17" s="10">
        <v>0</v>
      </c>
      <c r="I17" s="10">
        <v>0</v>
      </c>
      <c r="J17" s="18">
        <f t="shared" si="0"/>
        <v>28762</v>
      </c>
    </row>
    <row r="18" spans="1:10" x14ac:dyDescent="0.25">
      <c r="A18" s="9">
        <v>15</v>
      </c>
      <c r="B18" s="9" t="s">
        <v>61</v>
      </c>
      <c r="C18" s="9" t="s">
        <v>76</v>
      </c>
      <c r="D18" s="10">
        <v>28073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8">
        <f t="shared" si="0"/>
        <v>28073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"/>
  <sheetViews>
    <sheetView workbookViewId="0">
      <selection activeCell="M19" sqref="M19"/>
    </sheetView>
  </sheetViews>
  <sheetFormatPr defaultRowHeight="15" x14ac:dyDescent="0.25"/>
  <cols>
    <col min="1" max="1" width="6" customWidth="1"/>
    <col min="2" max="2" width="12" customWidth="1"/>
    <col min="3" max="3" width="14" customWidth="1"/>
    <col min="4" max="4" width="12" customWidth="1"/>
    <col min="10" max="10" width="14" customWidth="1"/>
  </cols>
  <sheetData>
    <row r="1" spans="1:10" ht="16.5" x14ac:dyDescent="0.25">
      <c r="A1" s="8" t="s">
        <v>11</v>
      </c>
      <c r="B1" s="8" t="s">
        <v>13</v>
      </c>
      <c r="C1" s="8" t="s">
        <v>12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</row>
    <row r="2" spans="1:10" x14ac:dyDescent="0.25">
      <c r="A2" s="9">
        <v>1</v>
      </c>
      <c r="B2" s="9" t="s">
        <v>48</v>
      </c>
      <c r="C2" s="9" t="s">
        <v>21</v>
      </c>
      <c r="D2" s="10">
        <v>1000066</v>
      </c>
      <c r="E2" s="10">
        <v>286508</v>
      </c>
      <c r="F2" s="10">
        <v>278619</v>
      </c>
      <c r="G2" s="10">
        <v>334793</v>
      </c>
      <c r="H2" s="10">
        <v>284973</v>
      </c>
      <c r="I2" s="10">
        <v>173383</v>
      </c>
      <c r="J2" s="10">
        <f t="shared" ref="J2:J20" si="0">SUM(D2:I2)</f>
        <v>2358342</v>
      </c>
    </row>
    <row r="3" spans="1:10" x14ac:dyDescent="0.25">
      <c r="A3" s="9">
        <v>2</v>
      </c>
      <c r="B3" s="9" t="s">
        <v>47</v>
      </c>
      <c r="C3" s="9" t="s">
        <v>23</v>
      </c>
      <c r="D3" s="10">
        <v>1010462</v>
      </c>
      <c r="E3" s="10">
        <v>308099</v>
      </c>
      <c r="F3" s="10">
        <v>290074</v>
      </c>
      <c r="G3" s="10">
        <v>227114</v>
      </c>
      <c r="H3" s="10">
        <v>333858</v>
      </c>
      <c r="I3" s="10">
        <v>140821</v>
      </c>
      <c r="J3" s="10">
        <f t="shared" si="0"/>
        <v>2310428</v>
      </c>
    </row>
    <row r="4" spans="1:10" x14ac:dyDescent="0.25">
      <c r="A4" s="9">
        <v>3</v>
      </c>
      <c r="B4" s="9" t="s">
        <v>24</v>
      </c>
      <c r="C4" s="9" t="s">
        <v>27</v>
      </c>
      <c r="D4" s="10">
        <v>794394</v>
      </c>
      <c r="E4" s="10">
        <v>285655</v>
      </c>
      <c r="F4" s="10">
        <v>262224</v>
      </c>
      <c r="G4" s="10">
        <v>388403</v>
      </c>
      <c r="H4" s="10">
        <v>209933</v>
      </c>
      <c r="I4" s="10">
        <v>129732</v>
      </c>
      <c r="J4" s="10">
        <f t="shared" si="0"/>
        <v>2070341</v>
      </c>
    </row>
    <row r="5" spans="1:10" x14ac:dyDescent="0.25">
      <c r="A5" s="9">
        <v>4</v>
      </c>
      <c r="B5" s="9" t="s">
        <v>56</v>
      </c>
      <c r="C5" s="9" t="s">
        <v>35</v>
      </c>
      <c r="D5" s="10">
        <v>613269</v>
      </c>
      <c r="E5" s="10">
        <v>401056</v>
      </c>
      <c r="F5" s="10">
        <v>206403</v>
      </c>
      <c r="G5" s="10">
        <v>188466</v>
      </c>
      <c r="H5" s="10">
        <v>286083</v>
      </c>
      <c r="I5" s="10">
        <v>142859</v>
      </c>
      <c r="J5" s="10">
        <f t="shared" si="0"/>
        <v>1838136</v>
      </c>
    </row>
    <row r="6" spans="1:10" x14ac:dyDescent="0.25">
      <c r="A6" s="9">
        <v>5</v>
      </c>
      <c r="B6" s="9" t="s">
        <v>28</v>
      </c>
      <c r="C6" s="9" t="s">
        <v>33</v>
      </c>
      <c r="D6" s="10">
        <v>672620</v>
      </c>
      <c r="E6" s="10">
        <v>325286</v>
      </c>
      <c r="F6" s="10">
        <v>180009</v>
      </c>
      <c r="G6" s="10">
        <v>240239</v>
      </c>
      <c r="H6" s="10">
        <v>197149</v>
      </c>
      <c r="I6" s="10">
        <v>186860</v>
      </c>
      <c r="J6" s="10">
        <f t="shared" si="0"/>
        <v>1802163</v>
      </c>
    </row>
    <row r="7" spans="1:10" x14ac:dyDescent="0.25">
      <c r="A7" s="9">
        <v>6</v>
      </c>
      <c r="B7" s="9" t="s">
        <v>34</v>
      </c>
      <c r="C7" s="9" t="s">
        <v>31</v>
      </c>
      <c r="D7" s="10">
        <v>560000</v>
      </c>
      <c r="E7" s="10">
        <v>240000</v>
      </c>
      <c r="F7" s="10">
        <v>161359</v>
      </c>
      <c r="G7" s="10">
        <v>234000</v>
      </c>
      <c r="H7" s="10">
        <v>274628</v>
      </c>
      <c r="I7" s="10">
        <v>176775</v>
      </c>
      <c r="J7" s="10">
        <f t="shared" si="0"/>
        <v>1646762</v>
      </c>
    </row>
    <row r="8" spans="1:10" x14ac:dyDescent="0.25">
      <c r="A8" s="9">
        <v>7</v>
      </c>
      <c r="B8" s="9" t="s">
        <v>42</v>
      </c>
      <c r="C8" s="9" t="s">
        <v>29</v>
      </c>
      <c r="D8" s="10">
        <v>831350</v>
      </c>
      <c r="E8" s="10">
        <v>116158</v>
      </c>
      <c r="F8" s="10">
        <v>158041</v>
      </c>
      <c r="G8" s="10">
        <v>86258</v>
      </c>
      <c r="H8" s="10">
        <v>121064</v>
      </c>
      <c r="I8" s="10">
        <v>180000</v>
      </c>
      <c r="J8" s="10">
        <f t="shared" si="0"/>
        <v>1492871</v>
      </c>
    </row>
    <row r="9" spans="1:10" x14ac:dyDescent="0.25">
      <c r="A9" s="9">
        <v>8</v>
      </c>
      <c r="B9" s="9" t="s">
        <v>77</v>
      </c>
      <c r="C9" s="9" t="s">
        <v>25</v>
      </c>
      <c r="D9" s="10">
        <v>0</v>
      </c>
      <c r="E9" s="10">
        <v>380164</v>
      </c>
      <c r="F9" s="10">
        <v>184936</v>
      </c>
      <c r="G9" s="10">
        <v>344494</v>
      </c>
      <c r="H9" s="10">
        <v>431301</v>
      </c>
      <c r="I9" s="10">
        <v>123004</v>
      </c>
      <c r="J9" s="10">
        <f t="shared" si="0"/>
        <v>1463899</v>
      </c>
    </row>
    <row r="10" spans="1:10" x14ac:dyDescent="0.25">
      <c r="A10" s="9">
        <v>9</v>
      </c>
      <c r="B10" s="9" t="s">
        <v>78</v>
      </c>
      <c r="C10" s="9" t="s">
        <v>25</v>
      </c>
      <c r="D10" s="10">
        <v>0</v>
      </c>
      <c r="E10" s="10">
        <v>0</v>
      </c>
      <c r="F10" s="10">
        <v>0</v>
      </c>
      <c r="G10" s="10">
        <v>463161</v>
      </c>
      <c r="H10" s="10">
        <v>442264</v>
      </c>
      <c r="I10" s="10">
        <v>309178</v>
      </c>
      <c r="J10" s="10">
        <f t="shared" si="0"/>
        <v>1214603</v>
      </c>
    </row>
    <row r="11" spans="1:10" x14ac:dyDescent="0.25">
      <c r="A11" s="9">
        <v>10</v>
      </c>
      <c r="B11" s="9" t="s">
        <v>80</v>
      </c>
      <c r="C11" s="9" t="s">
        <v>25</v>
      </c>
      <c r="D11" s="10">
        <v>0</v>
      </c>
      <c r="E11" s="10">
        <v>325087</v>
      </c>
      <c r="F11" s="10">
        <v>140065</v>
      </c>
      <c r="G11" s="10">
        <v>68874</v>
      </c>
      <c r="H11" s="10">
        <v>115345</v>
      </c>
      <c r="I11" s="10">
        <v>120281</v>
      </c>
      <c r="J11" s="10">
        <f t="shared" si="0"/>
        <v>769652</v>
      </c>
    </row>
    <row r="12" spans="1:10" x14ac:dyDescent="0.25">
      <c r="A12" s="9">
        <v>11</v>
      </c>
      <c r="B12" s="9" t="s">
        <v>74</v>
      </c>
      <c r="C12" s="9" t="s">
        <v>79</v>
      </c>
      <c r="D12" s="10">
        <v>100259</v>
      </c>
      <c r="E12" s="10">
        <v>183423</v>
      </c>
      <c r="F12" s="10">
        <v>1210</v>
      </c>
      <c r="G12" s="10">
        <v>53440</v>
      </c>
      <c r="H12" s="10">
        <v>125959</v>
      </c>
      <c r="I12" s="10">
        <v>46505</v>
      </c>
      <c r="J12" s="10">
        <f t="shared" si="0"/>
        <v>510796</v>
      </c>
    </row>
    <row r="13" spans="1:10" x14ac:dyDescent="0.25">
      <c r="A13" s="9">
        <v>12</v>
      </c>
      <c r="B13" s="9" t="s">
        <v>36</v>
      </c>
      <c r="C13" s="9" t="s">
        <v>41</v>
      </c>
      <c r="D13" s="10">
        <v>52365</v>
      </c>
      <c r="E13" s="10">
        <v>201824</v>
      </c>
      <c r="F13" s="10">
        <v>83333</v>
      </c>
      <c r="G13" s="10">
        <v>12955</v>
      </c>
      <c r="H13" s="10">
        <v>102691</v>
      </c>
      <c r="I13" s="10">
        <v>43600</v>
      </c>
      <c r="J13" s="10">
        <f t="shared" si="0"/>
        <v>496768</v>
      </c>
    </row>
    <row r="14" spans="1:10" x14ac:dyDescent="0.25">
      <c r="A14" s="9">
        <v>13</v>
      </c>
      <c r="B14" s="9" t="s">
        <v>59</v>
      </c>
      <c r="C14" s="9" t="s">
        <v>58</v>
      </c>
      <c r="D14" s="10">
        <v>0</v>
      </c>
      <c r="E14" s="10">
        <v>0</v>
      </c>
      <c r="F14" s="10">
        <v>95000</v>
      </c>
      <c r="G14" s="10">
        <v>0</v>
      </c>
      <c r="H14" s="10">
        <v>0</v>
      </c>
      <c r="I14" s="10">
        <v>164620</v>
      </c>
      <c r="J14" s="10">
        <f t="shared" si="0"/>
        <v>259620</v>
      </c>
    </row>
    <row r="15" spans="1:10" x14ac:dyDescent="0.25">
      <c r="A15" s="9">
        <v>14</v>
      </c>
      <c r="B15" s="9" t="s">
        <v>73</v>
      </c>
      <c r="C15" s="9" t="s">
        <v>39</v>
      </c>
      <c r="D15" s="10">
        <v>254513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f t="shared" si="0"/>
        <v>254513</v>
      </c>
    </row>
    <row r="16" spans="1:10" x14ac:dyDescent="0.25">
      <c r="A16" s="9">
        <v>15</v>
      </c>
      <c r="B16" s="9" t="s">
        <v>82</v>
      </c>
      <c r="C16" s="9" t="s">
        <v>81</v>
      </c>
      <c r="D16" s="10">
        <v>0</v>
      </c>
      <c r="E16" s="10">
        <v>0</v>
      </c>
      <c r="F16" s="10">
        <v>15000</v>
      </c>
      <c r="G16" s="10">
        <v>0</v>
      </c>
      <c r="H16" s="10">
        <v>0</v>
      </c>
      <c r="I16" s="10">
        <v>73701</v>
      </c>
      <c r="J16" s="10">
        <f t="shared" si="0"/>
        <v>88701</v>
      </c>
    </row>
    <row r="17" spans="1:10" x14ac:dyDescent="0.25">
      <c r="A17" s="9">
        <v>16</v>
      </c>
      <c r="B17" s="9" t="s">
        <v>71</v>
      </c>
      <c r="C17" s="9" t="s">
        <v>37</v>
      </c>
      <c r="D17" s="10">
        <v>55575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f t="shared" si="0"/>
        <v>55575</v>
      </c>
    </row>
    <row r="18" spans="1:10" x14ac:dyDescent="0.25">
      <c r="A18" s="9">
        <v>17</v>
      </c>
      <c r="B18" s="9" t="s">
        <v>64</v>
      </c>
      <c r="C18" s="9" t="s">
        <v>63</v>
      </c>
      <c r="D18" s="10">
        <v>0</v>
      </c>
      <c r="E18" s="10">
        <v>0</v>
      </c>
      <c r="F18" s="10">
        <v>10000</v>
      </c>
      <c r="G18" s="10">
        <v>0</v>
      </c>
      <c r="H18" s="10">
        <v>11509</v>
      </c>
      <c r="I18" s="10">
        <v>16455</v>
      </c>
      <c r="J18" s="10">
        <f t="shared" si="0"/>
        <v>37964</v>
      </c>
    </row>
    <row r="19" spans="1:10" x14ac:dyDescent="0.25">
      <c r="A19" s="9">
        <v>18</v>
      </c>
      <c r="B19" s="9" t="s">
        <v>65</v>
      </c>
      <c r="C19" s="9" t="s">
        <v>63</v>
      </c>
      <c r="D19" s="10">
        <v>0</v>
      </c>
      <c r="E19" s="10">
        <v>0</v>
      </c>
      <c r="F19" s="10">
        <v>10000</v>
      </c>
      <c r="G19" s="10">
        <v>0</v>
      </c>
      <c r="H19" s="10">
        <v>12222</v>
      </c>
      <c r="I19" s="10">
        <v>15655</v>
      </c>
      <c r="J19" s="10">
        <f t="shared" si="0"/>
        <v>37877</v>
      </c>
    </row>
    <row r="20" spans="1:10" x14ac:dyDescent="0.25">
      <c r="A20" s="9">
        <v>19</v>
      </c>
      <c r="B20" s="9" t="s">
        <v>68</v>
      </c>
      <c r="C20" s="9" t="s">
        <v>53</v>
      </c>
      <c r="D20" s="10">
        <v>8322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f t="shared" si="0"/>
        <v>8322</v>
      </c>
    </row>
  </sheetData>
  <sortState xmlns:xlrd2="http://schemas.microsoft.com/office/spreadsheetml/2017/richdata2" ref="B2:J20">
    <sortCondition descending="1" ref="J2:J20"/>
  </sortState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4"/>
  <sheetViews>
    <sheetView workbookViewId="0">
      <selection activeCell="P25" sqref="P25"/>
    </sheetView>
  </sheetViews>
  <sheetFormatPr defaultRowHeight="15" x14ac:dyDescent="0.25"/>
  <cols>
    <col min="1" max="1" width="6" customWidth="1"/>
    <col min="2" max="2" width="12" customWidth="1"/>
    <col min="4" max="4" width="13" customWidth="1"/>
  </cols>
  <sheetData>
    <row r="1" spans="1:10" ht="16.5" x14ac:dyDescent="0.25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</row>
    <row r="2" spans="1:10" x14ac:dyDescent="0.25">
      <c r="A2" s="9">
        <v>1</v>
      </c>
      <c r="B2" s="9" t="s">
        <v>21</v>
      </c>
      <c r="C2" s="9" t="s">
        <v>78</v>
      </c>
      <c r="D2" s="10">
        <v>863720</v>
      </c>
      <c r="E2" s="10">
        <v>370208</v>
      </c>
      <c r="F2" s="10">
        <v>361412</v>
      </c>
      <c r="G2" s="10">
        <v>655616</v>
      </c>
      <c r="H2" s="10">
        <v>343196</v>
      </c>
      <c r="I2" s="10">
        <v>304637</v>
      </c>
      <c r="J2" s="10">
        <f t="shared" ref="J2:J22" si="0">SUM(D2:I2)</f>
        <v>2898789</v>
      </c>
    </row>
    <row r="3" spans="1:10" x14ac:dyDescent="0.25">
      <c r="A3" s="9">
        <v>7</v>
      </c>
      <c r="B3" s="9" t="s">
        <v>25</v>
      </c>
      <c r="C3" s="9" t="s">
        <v>83</v>
      </c>
      <c r="D3" s="10">
        <v>0</v>
      </c>
      <c r="E3" s="10">
        <v>725000</v>
      </c>
      <c r="F3" s="10">
        <v>140721</v>
      </c>
      <c r="G3" s="10">
        <v>716412</v>
      </c>
      <c r="H3" s="10">
        <v>959426</v>
      </c>
      <c r="I3" s="10">
        <v>35000</v>
      </c>
      <c r="J3" s="10">
        <f t="shared" si="0"/>
        <v>2576559</v>
      </c>
    </row>
    <row r="4" spans="1:10" x14ac:dyDescent="0.25">
      <c r="A4" s="9">
        <v>2</v>
      </c>
      <c r="B4" s="9" t="s">
        <v>35</v>
      </c>
      <c r="C4" s="9" t="s">
        <v>56</v>
      </c>
      <c r="D4" s="10">
        <v>713545</v>
      </c>
      <c r="E4" s="10">
        <v>231856</v>
      </c>
      <c r="F4" s="10">
        <v>238168</v>
      </c>
      <c r="G4" s="10">
        <v>478251</v>
      </c>
      <c r="H4" s="10">
        <v>538242</v>
      </c>
      <c r="I4" s="10">
        <v>141304</v>
      </c>
      <c r="J4" s="10">
        <f t="shared" si="0"/>
        <v>2341366</v>
      </c>
    </row>
    <row r="5" spans="1:10" x14ac:dyDescent="0.25">
      <c r="A5" s="9">
        <v>3</v>
      </c>
      <c r="B5" s="9" t="s">
        <v>23</v>
      </c>
      <c r="C5" s="9" t="s">
        <v>24</v>
      </c>
      <c r="D5" s="10">
        <v>851192</v>
      </c>
      <c r="E5" s="10">
        <v>289758</v>
      </c>
      <c r="F5" s="10">
        <v>305572</v>
      </c>
      <c r="G5" s="10">
        <v>252275</v>
      </c>
      <c r="H5" s="10">
        <v>366914</v>
      </c>
      <c r="I5" s="10">
        <v>213100</v>
      </c>
      <c r="J5" s="10">
        <f t="shared" si="0"/>
        <v>2278811</v>
      </c>
    </row>
    <row r="6" spans="1:10" x14ac:dyDescent="0.25">
      <c r="A6" s="9">
        <v>5</v>
      </c>
      <c r="B6" s="9" t="s">
        <v>29</v>
      </c>
      <c r="C6" s="9" t="s">
        <v>28</v>
      </c>
      <c r="D6" s="10">
        <v>650239</v>
      </c>
      <c r="E6" s="10">
        <v>304311</v>
      </c>
      <c r="F6" s="10">
        <v>112707</v>
      </c>
      <c r="G6" s="10">
        <v>371422</v>
      </c>
      <c r="H6" s="10">
        <v>331876</v>
      </c>
      <c r="I6" s="10">
        <v>120000</v>
      </c>
      <c r="J6" s="10">
        <f t="shared" si="0"/>
        <v>1890555</v>
      </c>
    </row>
    <row r="7" spans="1:10" x14ac:dyDescent="0.25">
      <c r="A7" s="9">
        <v>4</v>
      </c>
      <c r="B7" s="9" t="s">
        <v>27</v>
      </c>
      <c r="C7" s="9" t="s">
        <v>77</v>
      </c>
      <c r="D7" s="10">
        <v>596340</v>
      </c>
      <c r="E7" s="10">
        <v>179290</v>
      </c>
      <c r="F7" s="10">
        <v>154940</v>
      </c>
      <c r="G7" s="10">
        <v>275869</v>
      </c>
      <c r="H7" s="10">
        <v>406020</v>
      </c>
      <c r="I7" s="10">
        <v>186539</v>
      </c>
      <c r="J7" s="10">
        <f t="shared" si="0"/>
        <v>1798998</v>
      </c>
    </row>
    <row r="8" spans="1:10" x14ac:dyDescent="0.25">
      <c r="A8" s="9">
        <v>6</v>
      </c>
      <c r="B8" s="9" t="s">
        <v>31</v>
      </c>
      <c r="C8" s="9" t="s">
        <v>47</v>
      </c>
      <c r="D8" s="10">
        <v>793942</v>
      </c>
      <c r="E8" s="10">
        <v>197785</v>
      </c>
      <c r="F8" s="10">
        <v>95631</v>
      </c>
      <c r="G8" s="10">
        <v>114237</v>
      </c>
      <c r="H8" s="10">
        <v>191329</v>
      </c>
      <c r="I8" s="10">
        <v>201286</v>
      </c>
      <c r="J8" s="10">
        <f t="shared" si="0"/>
        <v>1594210</v>
      </c>
    </row>
    <row r="9" spans="1:10" x14ac:dyDescent="0.25">
      <c r="A9" s="9">
        <v>9</v>
      </c>
      <c r="B9" s="9" t="s">
        <v>58</v>
      </c>
      <c r="C9" s="9" t="s">
        <v>59</v>
      </c>
      <c r="D9" s="10">
        <v>0</v>
      </c>
      <c r="E9" s="10">
        <v>0</v>
      </c>
      <c r="F9" s="10">
        <v>1012911</v>
      </c>
      <c r="G9" s="10">
        <v>0</v>
      </c>
      <c r="H9" s="10">
        <v>0</v>
      </c>
      <c r="I9" s="10">
        <v>341292</v>
      </c>
      <c r="J9" s="10">
        <f t="shared" si="0"/>
        <v>1354203</v>
      </c>
    </row>
    <row r="10" spans="1:10" x14ac:dyDescent="0.25">
      <c r="A10" s="9">
        <v>8</v>
      </c>
      <c r="B10" s="9" t="s">
        <v>33</v>
      </c>
      <c r="C10" s="9" t="s">
        <v>48</v>
      </c>
      <c r="D10" s="10">
        <v>370881</v>
      </c>
      <c r="E10" s="10">
        <v>109302</v>
      </c>
      <c r="F10" s="10">
        <v>116754</v>
      </c>
      <c r="G10" s="10">
        <v>194225</v>
      </c>
      <c r="H10" s="10">
        <v>230842</v>
      </c>
      <c r="I10" s="10">
        <v>90086</v>
      </c>
      <c r="J10" s="10">
        <f t="shared" si="0"/>
        <v>1112090</v>
      </c>
    </row>
    <row r="11" spans="1:10" x14ac:dyDescent="0.25">
      <c r="A11" s="9">
        <v>10</v>
      </c>
      <c r="B11" s="9" t="s">
        <v>60</v>
      </c>
      <c r="C11" s="9" t="s">
        <v>36</v>
      </c>
      <c r="D11" s="10">
        <v>121158</v>
      </c>
      <c r="E11" s="10">
        <v>63337</v>
      </c>
      <c r="F11" s="10">
        <v>77000</v>
      </c>
      <c r="G11" s="10">
        <v>35559</v>
      </c>
      <c r="H11" s="10">
        <v>552384</v>
      </c>
      <c r="I11" s="10">
        <v>46200</v>
      </c>
      <c r="J11" s="10">
        <f t="shared" si="0"/>
        <v>895638</v>
      </c>
    </row>
    <row r="12" spans="1:10" x14ac:dyDescent="0.25">
      <c r="A12" s="9">
        <v>14</v>
      </c>
      <c r="B12" s="9" t="s">
        <v>60</v>
      </c>
      <c r="C12" s="9" t="s">
        <v>74</v>
      </c>
      <c r="D12" s="10">
        <v>201396</v>
      </c>
      <c r="E12" s="10">
        <v>118609</v>
      </c>
      <c r="F12" s="10">
        <v>55393</v>
      </c>
      <c r="G12" s="10">
        <v>86653</v>
      </c>
      <c r="H12" s="10">
        <v>200027</v>
      </c>
      <c r="I12" s="10">
        <v>43000</v>
      </c>
      <c r="J12" s="10">
        <f t="shared" si="0"/>
        <v>705078</v>
      </c>
    </row>
    <row r="13" spans="1:10" x14ac:dyDescent="0.25">
      <c r="A13" s="9">
        <v>11</v>
      </c>
      <c r="B13" s="9" t="s">
        <v>37</v>
      </c>
      <c r="C13" s="9" t="s">
        <v>80</v>
      </c>
      <c r="D13" s="10">
        <v>292833</v>
      </c>
      <c r="E13" s="10">
        <v>142710</v>
      </c>
      <c r="F13" s="10">
        <v>69601</v>
      </c>
      <c r="G13" s="10">
        <v>58056</v>
      </c>
      <c r="H13" s="10">
        <v>56655</v>
      </c>
      <c r="I13" s="10">
        <v>0</v>
      </c>
      <c r="J13" s="10">
        <f t="shared" si="0"/>
        <v>619855</v>
      </c>
    </row>
    <row r="14" spans="1:10" x14ac:dyDescent="0.25">
      <c r="A14" s="9">
        <v>12</v>
      </c>
      <c r="B14" s="9" t="s">
        <v>39</v>
      </c>
      <c r="C14" s="9" t="s">
        <v>42</v>
      </c>
      <c r="D14" s="10">
        <v>175422</v>
      </c>
      <c r="E14" s="10">
        <v>46272</v>
      </c>
      <c r="F14" s="10">
        <v>53640</v>
      </c>
      <c r="G14" s="10">
        <v>127488</v>
      </c>
      <c r="H14" s="10">
        <v>110366</v>
      </c>
      <c r="I14" s="10">
        <v>60000</v>
      </c>
      <c r="J14" s="10">
        <f t="shared" si="0"/>
        <v>573188</v>
      </c>
    </row>
    <row r="15" spans="1:10" x14ac:dyDescent="0.25">
      <c r="A15" s="9">
        <v>15</v>
      </c>
      <c r="B15" s="9" t="s">
        <v>25</v>
      </c>
      <c r="C15" s="9" t="s">
        <v>26</v>
      </c>
      <c r="D15" s="10">
        <v>0</v>
      </c>
      <c r="E15" s="10">
        <v>203412</v>
      </c>
      <c r="F15" s="10">
        <v>42841</v>
      </c>
      <c r="G15" s="10">
        <v>130772</v>
      </c>
      <c r="H15" s="10">
        <v>92789</v>
      </c>
      <c r="I15" s="10">
        <v>35156</v>
      </c>
      <c r="J15" s="10">
        <f t="shared" si="0"/>
        <v>504970</v>
      </c>
    </row>
    <row r="16" spans="1:10" x14ac:dyDescent="0.25">
      <c r="A16" s="9">
        <v>16</v>
      </c>
      <c r="B16" s="9" t="s">
        <v>84</v>
      </c>
      <c r="C16" s="9" t="s">
        <v>85</v>
      </c>
      <c r="D16" s="10">
        <v>0</v>
      </c>
      <c r="E16" s="10">
        <v>0</v>
      </c>
      <c r="F16" s="10">
        <v>0</v>
      </c>
      <c r="G16" s="10">
        <v>179529</v>
      </c>
      <c r="H16" s="10">
        <v>265310</v>
      </c>
      <c r="I16" s="10">
        <v>36503</v>
      </c>
      <c r="J16" s="10">
        <f t="shared" si="0"/>
        <v>481342</v>
      </c>
    </row>
    <row r="17" spans="1:10" x14ac:dyDescent="0.25">
      <c r="A17" s="9">
        <v>17</v>
      </c>
      <c r="B17" s="9" t="s">
        <v>25</v>
      </c>
      <c r="C17" s="9" t="s">
        <v>86</v>
      </c>
      <c r="D17" s="10">
        <v>0</v>
      </c>
      <c r="E17" s="10">
        <v>72777</v>
      </c>
      <c r="F17" s="10">
        <v>33287</v>
      </c>
      <c r="G17" s="10">
        <v>33800</v>
      </c>
      <c r="H17" s="10">
        <v>83993</v>
      </c>
      <c r="I17" s="10">
        <v>35027</v>
      </c>
      <c r="J17" s="10">
        <f t="shared" si="0"/>
        <v>258884</v>
      </c>
    </row>
    <row r="18" spans="1:10" x14ac:dyDescent="0.25">
      <c r="A18" s="9">
        <v>13</v>
      </c>
      <c r="B18" s="9" t="s">
        <v>41</v>
      </c>
      <c r="C18" s="9" t="s">
        <v>34</v>
      </c>
      <c r="D18" s="10">
        <v>116032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f t="shared" si="0"/>
        <v>116032</v>
      </c>
    </row>
    <row r="19" spans="1:10" x14ac:dyDescent="0.25">
      <c r="A19" s="9">
        <v>18</v>
      </c>
      <c r="B19" s="9" t="s">
        <v>70</v>
      </c>
      <c r="C19" s="9" t="s">
        <v>73</v>
      </c>
      <c r="D19" s="10">
        <v>0</v>
      </c>
      <c r="E19" s="10">
        <v>22331</v>
      </c>
      <c r="F19" s="10">
        <v>28107</v>
      </c>
      <c r="G19" s="10">
        <v>27914</v>
      </c>
      <c r="H19" s="10">
        <v>10091</v>
      </c>
      <c r="I19" s="10">
        <v>0</v>
      </c>
      <c r="J19" s="10">
        <f t="shared" si="0"/>
        <v>88443</v>
      </c>
    </row>
    <row r="20" spans="1:10" x14ac:dyDescent="0.25">
      <c r="A20" s="9">
        <v>19</v>
      </c>
      <c r="B20" s="9" t="s">
        <v>81</v>
      </c>
      <c r="C20" s="9" t="s">
        <v>82</v>
      </c>
      <c r="D20" s="10">
        <v>0</v>
      </c>
      <c r="E20" s="10">
        <v>0</v>
      </c>
      <c r="F20" s="10">
        <v>15000</v>
      </c>
      <c r="G20" s="10">
        <v>0</v>
      </c>
      <c r="H20" s="10">
        <v>0</v>
      </c>
      <c r="I20" s="10">
        <v>72514</v>
      </c>
      <c r="J20" s="10">
        <f t="shared" si="0"/>
        <v>87514</v>
      </c>
    </row>
    <row r="21" spans="1:10" x14ac:dyDescent="0.25">
      <c r="A21" s="9">
        <v>20</v>
      </c>
      <c r="B21" s="9" t="s">
        <v>63</v>
      </c>
      <c r="C21" s="9" t="s">
        <v>64</v>
      </c>
      <c r="D21" s="10">
        <v>0</v>
      </c>
      <c r="E21" s="10">
        <v>0</v>
      </c>
      <c r="F21" s="10">
        <v>10000</v>
      </c>
      <c r="G21" s="10">
        <v>0</v>
      </c>
      <c r="H21" s="10">
        <v>0</v>
      </c>
      <c r="I21" s="10">
        <v>31094</v>
      </c>
      <c r="J21" s="10">
        <f t="shared" si="0"/>
        <v>41094</v>
      </c>
    </row>
    <row r="22" spans="1:10" x14ac:dyDescent="0.25">
      <c r="A22" s="9">
        <v>21</v>
      </c>
      <c r="B22" s="9" t="s">
        <v>87</v>
      </c>
      <c r="C22" s="9" t="s">
        <v>65</v>
      </c>
      <c r="D22" s="10">
        <v>0</v>
      </c>
      <c r="E22" s="10">
        <v>0</v>
      </c>
      <c r="F22" s="10">
        <v>10000</v>
      </c>
      <c r="G22" s="10">
        <v>0</v>
      </c>
      <c r="H22" s="10">
        <v>0</v>
      </c>
      <c r="I22" s="10">
        <v>30434</v>
      </c>
      <c r="J22" s="10">
        <f t="shared" si="0"/>
        <v>40434</v>
      </c>
    </row>
    <row r="24" spans="1:10" ht="16.5" x14ac:dyDescent="0.25">
      <c r="A24" s="20"/>
      <c r="B24" s="21"/>
      <c r="C24" s="22"/>
      <c r="D24" s="11" t="str">
        <f t="shared" ref="D24:J24" ca="1" si="1">SUM(D2:D24)</f>
        <v/>
      </c>
      <c r="E24" s="11" t="str">
        <f t="shared" ca="1" si="1"/>
        <v/>
      </c>
      <c r="F24" s="11" t="str">
        <f t="shared" ca="1" si="1"/>
        <v/>
      </c>
      <c r="G24" s="11" t="str">
        <f t="shared" ca="1" si="1"/>
        <v/>
      </c>
      <c r="H24" s="11" t="str">
        <f t="shared" ca="1" si="1"/>
        <v/>
      </c>
      <c r="I24" s="11" t="str">
        <f t="shared" ca="1" si="1"/>
        <v/>
      </c>
      <c r="J24" s="11" t="str">
        <f t="shared" ca="1" si="1"/>
        <v/>
      </c>
    </row>
  </sheetData>
  <mergeCells count="1">
    <mergeCell ref="A24:C24"/>
  </mergeCells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3"/>
  <sheetViews>
    <sheetView workbookViewId="0">
      <selection activeCell="B2" sqref="B2:J23"/>
    </sheetView>
  </sheetViews>
  <sheetFormatPr defaultRowHeight="15" x14ac:dyDescent="0.25"/>
  <cols>
    <col min="1" max="1" width="6" customWidth="1"/>
    <col min="2" max="2" width="14" customWidth="1"/>
    <col min="3" max="3" width="12" customWidth="1"/>
    <col min="5" max="5" width="10" customWidth="1"/>
    <col min="10" max="10" width="14" customWidth="1"/>
  </cols>
  <sheetData>
    <row r="1" spans="1:10" ht="21.95" customHeight="1" x14ac:dyDescent="0.25">
      <c r="A1" s="12" t="s">
        <v>11</v>
      </c>
      <c r="B1" s="12" t="s">
        <v>12</v>
      </c>
      <c r="C1" s="12" t="s">
        <v>13</v>
      </c>
      <c r="D1" s="12" t="s">
        <v>14</v>
      </c>
      <c r="E1" s="12" t="s">
        <v>15</v>
      </c>
      <c r="F1" s="12" t="s">
        <v>16</v>
      </c>
      <c r="G1" s="12" t="s">
        <v>17</v>
      </c>
      <c r="H1" s="12" t="s">
        <v>18</v>
      </c>
      <c r="I1" s="12" t="s">
        <v>19</v>
      </c>
      <c r="J1" s="12" t="s">
        <v>20</v>
      </c>
    </row>
    <row r="2" spans="1:10" x14ac:dyDescent="0.25">
      <c r="A2" s="9">
        <v>1</v>
      </c>
      <c r="B2" s="13" t="s">
        <v>21</v>
      </c>
      <c r="C2" s="13" t="s">
        <v>83</v>
      </c>
      <c r="D2" s="10">
        <v>591851</v>
      </c>
      <c r="E2" s="10">
        <v>807075</v>
      </c>
      <c r="F2" s="10">
        <v>489915</v>
      </c>
      <c r="G2" s="10">
        <v>561896</v>
      </c>
      <c r="H2" s="10">
        <v>301305</v>
      </c>
      <c r="I2" s="10">
        <v>350230</v>
      </c>
      <c r="J2" s="10">
        <f t="shared" ref="J2:J23" si="0">SUM(D2:I2)</f>
        <v>3102272</v>
      </c>
    </row>
    <row r="3" spans="1:10" x14ac:dyDescent="0.25">
      <c r="A3" s="9">
        <v>2</v>
      </c>
      <c r="B3" s="13" t="s">
        <v>23</v>
      </c>
      <c r="C3" s="13" t="s">
        <v>56</v>
      </c>
      <c r="D3" s="10">
        <v>1141001</v>
      </c>
      <c r="E3" s="10">
        <v>270318</v>
      </c>
      <c r="F3" s="10">
        <v>113320</v>
      </c>
      <c r="G3" s="10">
        <v>200407</v>
      </c>
      <c r="H3" s="10">
        <v>253261</v>
      </c>
      <c r="I3" s="10">
        <v>279546</v>
      </c>
      <c r="J3" s="10">
        <f t="shared" si="0"/>
        <v>2257853</v>
      </c>
    </row>
    <row r="4" spans="1:10" x14ac:dyDescent="0.25">
      <c r="A4" s="9">
        <v>3</v>
      </c>
      <c r="B4" s="13" t="s">
        <v>27</v>
      </c>
      <c r="C4" s="13" t="s">
        <v>28</v>
      </c>
      <c r="D4" s="10">
        <v>660862</v>
      </c>
      <c r="E4" s="10">
        <v>292677</v>
      </c>
      <c r="F4" s="10">
        <v>265361</v>
      </c>
      <c r="G4" s="10">
        <v>152608</v>
      </c>
      <c r="H4" s="10">
        <v>160660</v>
      </c>
      <c r="I4" s="10">
        <v>258860</v>
      </c>
      <c r="J4" s="10">
        <f t="shared" si="0"/>
        <v>1791028</v>
      </c>
    </row>
    <row r="5" spans="1:10" x14ac:dyDescent="0.25">
      <c r="A5" s="9">
        <v>4</v>
      </c>
      <c r="B5" s="13" t="s">
        <v>37</v>
      </c>
      <c r="C5" s="13" t="s">
        <v>26</v>
      </c>
      <c r="D5" s="10">
        <v>357662</v>
      </c>
      <c r="E5" s="10">
        <v>528500</v>
      </c>
      <c r="F5" s="10">
        <v>244064</v>
      </c>
      <c r="G5" s="10">
        <v>231144</v>
      </c>
      <c r="H5" s="10">
        <v>73540</v>
      </c>
      <c r="I5" s="10">
        <v>269976</v>
      </c>
      <c r="J5" s="10">
        <f t="shared" si="0"/>
        <v>1704886</v>
      </c>
    </row>
    <row r="6" spans="1:10" x14ac:dyDescent="0.25">
      <c r="A6" s="9">
        <v>5</v>
      </c>
      <c r="B6" s="13" t="s">
        <v>31</v>
      </c>
      <c r="C6" s="13" t="s">
        <v>78</v>
      </c>
      <c r="D6" s="10">
        <v>681469</v>
      </c>
      <c r="E6" s="10">
        <v>276356</v>
      </c>
      <c r="F6" s="10">
        <v>270536</v>
      </c>
      <c r="G6" s="10">
        <v>132388</v>
      </c>
      <c r="H6" s="10">
        <v>205088</v>
      </c>
      <c r="I6" s="10">
        <v>46762</v>
      </c>
      <c r="J6" s="10">
        <f t="shared" si="0"/>
        <v>1612599</v>
      </c>
    </row>
    <row r="7" spans="1:10" x14ac:dyDescent="0.25">
      <c r="A7" s="9">
        <v>6</v>
      </c>
      <c r="B7" s="13" t="s">
        <v>29</v>
      </c>
      <c r="C7" s="13" t="s">
        <v>77</v>
      </c>
      <c r="D7" s="10">
        <v>421701</v>
      </c>
      <c r="E7" s="10">
        <v>379268</v>
      </c>
      <c r="F7" s="10">
        <v>172812</v>
      </c>
      <c r="G7" s="10">
        <v>266041</v>
      </c>
      <c r="H7" s="10">
        <v>120224</v>
      </c>
      <c r="I7" s="10">
        <v>199612</v>
      </c>
      <c r="J7" s="10">
        <f t="shared" si="0"/>
        <v>1559658</v>
      </c>
    </row>
    <row r="8" spans="1:10" x14ac:dyDescent="0.25">
      <c r="A8" s="9">
        <v>7</v>
      </c>
      <c r="B8" s="13" t="s">
        <v>45</v>
      </c>
      <c r="C8" s="13" t="s">
        <v>85</v>
      </c>
      <c r="D8" s="10">
        <v>345252</v>
      </c>
      <c r="E8" s="10">
        <v>363978</v>
      </c>
      <c r="F8" s="10">
        <v>190465</v>
      </c>
      <c r="G8" s="10">
        <v>194171</v>
      </c>
      <c r="H8" s="10">
        <v>60000</v>
      </c>
      <c r="I8" s="10">
        <v>364525</v>
      </c>
      <c r="J8" s="10">
        <f t="shared" si="0"/>
        <v>1518391</v>
      </c>
    </row>
    <row r="9" spans="1:10" x14ac:dyDescent="0.25">
      <c r="A9" s="9">
        <v>8</v>
      </c>
      <c r="B9" s="13" t="s">
        <v>81</v>
      </c>
      <c r="C9" s="13" t="s">
        <v>82</v>
      </c>
      <c r="D9" s="10">
        <v>0</v>
      </c>
      <c r="E9" s="10">
        <v>0</v>
      </c>
      <c r="F9" s="10">
        <v>0</v>
      </c>
      <c r="G9" s="10">
        <v>1184656</v>
      </c>
      <c r="H9" s="10">
        <v>70112</v>
      </c>
      <c r="I9" s="10">
        <v>0</v>
      </c>
      <c r="J9" s="10">
        <f t="shared" si="0"/>
        <v>1254768</v>
      </c>
    </row>
    <row r="10" spans="1:10" x14ac:dyDescent="0.25">
      <c r="A10" s="9">
        <v>9</v>
      </c>
      <c r="B10" s="13" t="s">
        <v>60</v>
      </c>
      <c r="C10" s="13" t="s">
        <v>88</v>
      </c>
      <c r="D10" s="10">
        <v>0</v>
      </c>
      <c r="E10" s="10">
        <v>376055</v>
      </c>
      <c r="F10" s="10">
        <v>200998</v>
      </c>
      <c r="G10" s="10">
        <v>323870</v>
      </c>
      <c r="H10" s="10">
        <v>37577</v>
      </c>
      <c r="I10" s="10">
        <v>260507</v>
      </c>
      <c r="J10" s="10">
        <f t="shared" si="0"/>
        <v>1199007</v>
      </c>
    </row>
    <row r="11" spans="1:10" x14ac:dyDescent="0.25">
      <c r="A11" s="9">
        <v>10</v>
      </c>
      <c r="B11" s="13" t="s">
        <v>72</v>
      </c>
      <c r="C11" s="13" t="s">
        <v>89</v>
      </c>
      <c r="D11" s="10">
        <v>53316</v>
      </c>
      <c r="E11" s="10">
        <v>405715</v>
      </c>
      <c r="F11" s="10">
        <v>258804</v>
      </c>
      <c r="G11" s="10">
        <v>136523</v>
      </c>
      <c r="H11" s="10">
        <v>35294</v>
      </c>
      <c r="I11" s="10">
        <v>129433</v>
      </c>
      <c r="J11" s="10">
        <f t="shared" si="0"/>
        <v>1019085</v>
      </c>
    </row>
    <row r="12" spans="1:10" x14ac:dyDescent="0.25">
      <c r="A12" s="9">
        <v>11</v>
      </c>
      <c r="B12" s="13" t="s">
        <v>35</v>
      </c>
      <c r="C12" s="13" t="s">
        <v>24</v>
      </c>
      <c r="D12" s="10">
        <v>482687</v>
      </c>
      <c r="E12" s="10">
        <v>324635</v>
      </c>
      <c r="F12" s="10">
        <v>73671</v>
      </c>
      <c r="G12" s="10">
        <v>83111</v>
      </c>
      <c r="H12" s="10">
        <v>2414</v>
      </c>
      <c r="I12" s="10">
        <v>36737</v>
      </c>
      <c r="J12" s="10">
        <f t="shared" si="0"/>
        <v>1003255</v>
      </c>
    </row>
    <row r="13" spans="1:10" x14ac:dyDescent="0.25">
      <c r="A13" s="9">
        <v>12</v>
      </c>
      <c r="B13" s="13" t="s">
        <v>33</v>
      </c>
      <c r="C13" s="13" t="s">
        <v>36</v>
      </c>
      <c r="D13" s="10">
        <v>327703</v>
      </c>
      <c r="E13" s="10">
        <v>266678</v>
      </c>
      <c r="F13" s="10">
        <v>76864</v>
      </c>
      <c r="G13" s="10">
        <v>68162</v>
      </c>
      <c r="H13" s="10">
        <v>90000</v>
      </c>
      <c r="I13" s="10">
        <v>23242</v>
      </c>
      <c r="J13" s="10">
        <f t="shared" si="0"/>
        <v>852649</v>
      </c>
    </row>
    <row r="14" spans="1:10" x14ac:dyDescent="0.25">
      <c r="A14" s="9">
        <v>13</v>
      </c>
      <c r="B14" s="13" t="s">
        <v>58</v>
      </c>
      <c r="C14" s="13" t="s">
        <v>59</v>
      </c>
      <c r="D14" s="10">
        <v>0</v>
      </c>
      <c r="E14" s="10">
        <v>0</v>
      </c>
      <c r="F14" s="10">
        <v>0</v>
      </c>
      <c r="G14" s="10">
        <v>330160</v>
      </c>
      <c r="H14" s="10">
        <v>260000</v>
      </c>
      <c r="I14" s="10">
        <v>0</v>
      </c>
      <c r="J14" s="10">
        <f t="shared" si="0"/>
        <v>590160</v>
      </c>
    </row>
    <row r="15" spans="1:10" x14ac:dyDescent="0.25">
      <c r="A15" s="9">
        <v>14</v>
      </c>
      <c r="B15" s="13" t="s">
        <v>39</v>
      </c>
      <c r="C15" s="13" t="s">
        <v>74</v>
      </c>
      <c r="D15" s="10">
        <v>323323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f t="shared" si="0"/>
        <v>323323</v>
      </c>
    </row>
    <row r="16" spans="1:10" x14ac:dyDescent="0.25">
      <c r="A16" s="9">
        <v>15</v>
      </c>
      <c r="B16" s="13" t="s">
        <v>25</v>
      </c>
      <c r="C16" s="13" t="s">
        <v>91</v>
      </c>
      <c r="D16" s="10">
        <v>0</v>
      </c>
      <c r="E16" s="10">
        <v>0</v>
      </c>
      <c r="F16" s="10">
        <v>0</v>
      </c>
      <c r="G16" s="10">
        <v>67828</v>
      </c>
      <c r="H16" s="10">
        <v>35388</v>
      </c>
      <c r="I16" s="10">
        <v>195641</v>
      </c>
      <c r="J16" s="10">
        <f t="shared" si="0"/>
        <v>298857</v>
      </c>
    </row>
    <row r="17" spans="1:10" x14ac:dyDescent="0.25">
      <c r="A17" s="9">
        <v>16</v>
      </c>
      <c r="B17" s="13" t="s">
        <v>41</v>
      </c>
      <c r="C17" s="13" t="s">
        <v>47</v>
      </c>
      <c r="D17" s="10">
        <v>165031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f t="shared" si="0"/>
        <v>165031</v>
      </c>
    </row>
    <row r="18" spans="1:10" x14ac:dyDescent="0.25">
      <c r="A18" s="9">
        <v>17</v>
      </c>
      <c r="B18" s="13" t="s">
        <v>75</v>
      </c>
      <c r="C18" s="13" t="s">
        <v>86</v>
      </c>
      <c r="D18" s="10">
        <v>92074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f t="shared" si="0"/>
        <v>92074</v>
      </c>
    </row>
    <row r="19" spans="1:10" x14ac:dyDescent="0.25">
      <c r="A19" s="9">
        <v>18</v>
      </c>
      <c r="B19" s="13" t="s">
        <v>90</v>
      </c>
      <c r="C19" s="13" t="s">
        <v>42</v>
      </c>
      <c r="D19" s="10">
        <v>75552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f t="shared" si="0"/>
        <v>75552</v>
      </c>
    </row>
    <row r="20" spans="1:10" x14ac:dyDescent="0.25">
      <c r="A20" s="9">
        <v>19</v>
      </c>
      <c r="B20" s="13" t="s">
        <v>43</v>
      </c>
      <c r="C20" s="13" t="s">
        <v>48</v>
      </c>
      <c r="D20" s="10">
        <v>39535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f t="shared" si="0"/>
        <v>39535</v>
      </c>
    </row>
    <row r="21" spans="1:10" x14ac:dyDescent="0.25">
      <c r="A21" s="9">
        <v>20</v>
      </c>
      <c r="B21" s="13" t="s">
        <v>63</v>
      </c>
      <c r="C21" s="13" t="s">
        <v>64</v>
      </c>
      <c r="D21" s="10">
        <v>0</v>
      </c>
      <c r="E21" s="10">
        <v>0</v>
      </c>
      <c r="F21" s="10">
        <v>0</v>
      </c>
      <c r="G21" s="10">
        <v>0</v>
      </c>
      <c r="H21" s="10">
        <v>32027</v>
      </c>
      <c r="I21" s="10">
        <v>0</v>
      </c>
      <c r="J21" s="10">
        <f t="shared" si="0"/>
        <v>32027</v>
      </c>
    </row>
    <row r="22" spans="1:10" x14ac:dyDescent="0.25">
      <c r="A22" s="9">
        <v>21</v>
      </c>
      <c r="B22" s="13" t="s">
        <v>63</v>
      </c>
      <c r="C22" s="13" t="s">
        <v>65</v>
      </c>
      <c r="D22" s="10">
        <v>0</v>
      </c>
      <c r="E22" s="10">
        <v>0</v>
      </c>
      <c r="F22" s="10">
        <v>0</v>
      </c>
      <c r="G22" s="10">
        <v>0</v>
      </c>
      <c r="H22" s="10">
        <v>30099</v>
      </c>
      <c r="I22" s="10">
        <v>0</v>
      </c>
      <c r="J22" s="10">
        <f t="shared" si="0"/>
        <v>30099</v>
      </c>
    </row>
    <row r="23" spans="1:10" x14ac:dyDescent="0.25">
      <c r="A23" s="9">
        <v>22</v>
      </c>
      <c r="B23" s="13" t="s">
        <v>92</v>
      </c>
      <c r="C23" s="13" t="s">
        <v>80</v>
      </c>
      <c r="D23" s="10">
        <v>10623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f t="shared" si="0"/>
        <v>10623</v>
      </c>
    </row>
  </sheetData>
  <sortState xmlns:xlrd2="http://schemas.microsoft.com/office/spreadsheetml/2017/richdata2" ref="B2:J23">
    <sortCondition descending="1" ref="J2:J23"/>
  </sortState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7"/>
  <sheetViews>
    <sheetView workbookViewId="0"/>
  </sheetViews>
  <sheetFormatPr defaultRowHeight="15" x14ac:dyDescent="0.25"/>
  <cols>
    <col min="1" max="1" width="6" customWidth="1"/>
    <col min="2" max="2" width="10" customWidth="1"/>
    <col min="3" max="3" width="12" customWidth="1"/>
    <col min="10" max="10" width="14" customWidth="1"/>
  </cols>
  <sheetData>
    <row r="1" spans="1:10" ht="16.5" x14ac:dyDescent="0.25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</row>
    <row r="2" spans="1:10" x14ac:dyDescent="0.25">
      <c r="A2" s="9">
        <v>1</v>
      </c>
      <c r="B2" s="9" t="s">
        <v>21</v>
      </c>
      <c r="C2" s="9" t="s">
        <v>83</v>
      </c>
      <c r="D2" s="10">
        <v>1244049</v>
      </c>
      <c r="E2" s="10">
        <v>377342</v>
      </c>
      <c r="F2" s="10">
        <v>419994</v>
      </c>
      <c r="G2" s="10">
        <v>616582</v>
      </c>
      <c r="H2" s="10">
        <v>352445</v>
      </c>
      <c r="I2" s="10">
        <v>601376</v>
      </c>
      <c r="J2" s="10">
        <v>3611788</v>
      </c>
    </row>
    <row r="3" spans="1:10" x14ac:dyDescent="0.25">
      <c r="A3" s="9">
        <v>2</v>
      </c>
      <c r="B3" s="9" t="s">
        <v>25</v>
      </c>
      <c r="C3" s="9" t="s">
        <v>82</v>
      </c>
      <c r="D3" s="10">
        <v>0</v>
      </c>
      <c r="E3" s="10">
        <v>367943</v>
      </c>
      <c r="F3" s="10">
        <v>451485</v>
      </c>
      <c r="G3" s="10">
        <v>569529</v>
      </c>
      <c r="H3" s="10">
        <v>399150</v>
      </c>
      <c r="I3" s="10">
        <v>1046421</v>
      </c>
      <c r="J3" s="10">
        <v>2834528</v>
      </c>
    </row>
    <row r="4" spans="1:10" x14ac:dyDescent="0.25">
      <c r="A4" s="9">
        <v>3</v>
      </c>
      <c r="B4" s="9" t="s">
        <v>23</v>
      </c>
      <c r="C4" s="9" t="s">
        <v>56</v>
      </c>
      <c r="D4" s="10">
        <v>1011206</v>
      </c>
      <c r="E4" s="10">
        <v>241040</v>
      </c>
      <c r="F4" s="10">
        <v>275722</v>
      </c>
      <c r="G4" s="10">
        <v>114690</v>
      </c>
      <c r="H4" s="10">
        <v>235842</v>
      </c>
      <c r="I4" s="10">
        <v>155580</v>
      </c>
      <c r="J4" s="10">
        <v>2034080</v>
      </c>
    </row>
    <row r="5" spans="1:10" x14ac:dyDescent="0.25">
      <c r="A5" s="9">
        <v>4</v>
      </c>
      <c r="B5" s="9" t="s">
        <v>35</v>
      </c>
      <c r="C5" s="9" t="s">
        <v>28</v>
      </c>
      <c r="D5" s="10">
        <v>395677</v>
      </c>
      <c r="E5" s="10">
        <v>233172</v>
      </c>
      <c r="F5" s="10">
        <v>108087</v>
      </c>
      <c r="G5" s="10">
        <v>242000</v>
      </c>
      <c r="H5" s="10">
        <v>378783</v>
      </c>
      <c r="I5" s="10">
        <v>354015</v>
      </c>
      <c r="J5" s="10">
        <v>1711734</v>
      </c>
    </row>
    <row r="6" spans="1:10" x14ac:dyDescent="0.25">
      <c r="A6" s="9">
        <v>5</v>
      </c>
      <c r="B6" s="9" t="s">
        <v>27</v>
      </c>
      <c r="C6" s="9" t="s">
        <v>85</v>
      </c>
      <c r="D6" s="10">
        <v>394952</v>
      </c>
      <c r="E6" s="10">
        <v>270182</v>
      </c>
      <c r="F6" s="10">
        <v>214825</v>
      </c>
      <c r="G6" s="10">
        <v>302376</v>
      </c>
      <c r="H6" s="10">
        <v>102803</v>
      </c>
      <c r="I6" s="10">
        <v>251500</v>
      </c>
      <c r="J6" s="10">
        <v>1536638</v>
      </c>
    </row>
    <row r="7" spans="1:10" x14ac:dyDescent="0.25">
      <c r="A7" s="9">
        <v>6</v>
      </c>
      <c r="B7" s="9" t="s">
        <v>29</v>
      </c>
      <c r="C7" s="9" t="s">
        <v>77</v>
      </c>
      <c r="D7" s="10">
        <v>231094</v>
      </c>
      <c r="E7" s="10">
        <v>275859</v>
      </c>
      <c r="F7" s="10">
        <v>234267</v>
      </c>
      <c r="G7" s="10">
        <v>217631</v>
      </c>
      <c r="H7" s="10">
        <v>202817</v>
      </c>
      <c r="I7" s="10">
        <v>214501</v>
      </c>
      <c r="J7" s="10">
        <v>1376169</v>
      </c>
    </row>
    <row r="8" spans="1:10" x14ac:dyDescent="0.25">
      <c r="A8" s="9">
        <v>7</v>
      </c>
      <c r="B8" s="9" t="s">
        <v>25</v>
      </c>
      <c r="C8" s="9" t="s">
        <v>93</v>
      </c>
      <c r="D8" s="10">
        <v>0</v>
      </c>
      <c r="E8" s="10">
        <v>152918</v>
      </c>
      <c r="F8" s="10">
        <v>214831</v>
      </c>
      <c r="G8" s="10">
        <v>443260</v>
      </c>
      <c r="H8" s="10">
        <v>110868</v>
      </c>
      <c r="I8" s="10">
        <v>126293</v>
      </c>
      <c r="J8" s="10">
        <v>1048170</v>
      </c>
    </row>
    <row r="9" spans="1:10" x14ac:dyDescent="0.25">
      <c r="A9" s="9">
        <v>8</v>
      </c>
      <c r="B9" s="9" t="s">
        <v>31</v>
      </c>
      <c r="C9" s="9" t="s">
        <v>26</v>
      </c>
      <c r="D9" s="10">
        <v>475313</v>
      </c>
      <c r="E9" s="10">
        <v>168780</v>
      </c>
      <c r="F9" s="10">
        <v>79387</v>
      </c>
      <c r="G9" s="10">
        <v>179403</v>
      </c>
      <c r="H9" s="10">
        <v>44962</v>
      </c>
      <c r="I9" s="10">
        <v>39204</v>
      </c>
      <c r="J9" s="10">
        <v>987049</v>
      </c>
    </row>
    <row r="10" spans="1:10" x14ac:dyDescent="0.25">
      <c r="A10" s="9">
        <v>9</v>
      </c>
      <c r="B10" s="9" t="s">
        <v>37</v>
      </c>
      <c r="C10" s="9" t="s">
        <v>89</v>
      </c>
      <c r="D10" s="10">
        <v>111111</v>
      </c>
      <c r="E10" s="10">
        <v>70786</v>
      </c>
      <c r="F10" s="10">
        <v>183562</v>
      </c>
      <c r="G10" s="10">
        <v>58444</v>
      </c>
      <c r="H10" s="10">
        <v>13647</v>
      </c>
      <c r="I10" s="10">
        <v>320000</v>
      </c>
      <c r="J10" s="10">
        <v>757550</v>
      </c>
    </row>
    <row r="11" spans="1:10" x14ac:dyDescent="0.25">
      <c r="A11" s="9">
        <v>10</v>
      </c>
      <c r="B11" s="9" t="s">
        <v>33</v>
      </c>
      <c r="C11" s="9" t="s">
        <v>88</v>
      </c>
      <c r="D11" s="10">
        <v>175886</v>
      </c>
      <c r="E11" s="10">
        <v>260065</v>
      </c>
      <c r="F11" s="10">
        <v>103667</v>
      </c>
      <c r="G11" s="10">
        <v>56825</v>
      </c>
      <c r="H11" s="10">
        <v>27982</v>
      </c>
      <c r="I11" s="10">
        <v>45591</v>
      </c>
      <c r="J11" s="10">
        <v>670016</v>
      </c>
    </row>
    <row r="12" spans="1:10" x14ac:dyDescent="0.25">
      <c r="A12" s="9">
        <v>11</v>
      </c>
      <c r="B12" s="9" t="s">
        <v>94</v>
      </c>
      <c r="C12" s="9" t="s">
        <v>67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537051</v>
      </c>
      <c r="J12" s="10">
        <v>537051</v>
      </c>
    </row>
    <row r="13" spans="1:10" x14ac:dyDescent="0.25">
      <c r="A13" s="9">
        <v>12</v>
      </c>
      <c r="B13" s="9" t="s">
        <v>60</v>
      </c>
      <c r="C13" s="9" t="s">
        <v>91</v>
      </c>
      <c r="D13" s="10">
        <v>100000</v>
      </c>
      <c r="E13" s="10">
        <v>115264</v>
      </c>
      <c r="F13" s="10">
        <v>95218</v>
      </c>
      <c r="G13" s="10">
        <v>105935</v>
      </c>
      <c r="H13" s="10">
        <v>40187</v>
      </c>
      <c r="I13" s="10">
        <v>42633</v>
      </c>
      <c r="J13" s="10">
        <v>499237</v>
      </c>
    </row>
    <row r="14" spans="1:10" x14ac:dyDescent="0.25">
      <c r="A14" s="9">
        <v>13</v>
      </c>
      <c r="B14" s="9" t="s">
        <v>60</v>
      </c>
      <c r="C14" s="9" t="s">
        <v>36</v>
      </c>
      <c r="D14" s="10">
        <v>65317</v>
      </c>
      <c r="E14" s="10">
        <v>175935</v>
      </c>
      <c r="F14" s="10">
        <v>63089</v>
      </c>
      <c r="G14" s="10">
        <v>38548</v>
      </c>
      <c r="H14" s="10">
        <v>15709</v>
      </c>
      <c r="I14" s="10">
        <v>18084</v>
      </c>
      <c r="J14" s="10">
        <v>376682</v>
      </c>
    </row>
    <row r="15" spans="1:10" x14ac:dyDescent="0.25">
      <c r="A15" s="9">
        <v>14</v>
      </c>
      <c r="B15" s="9" t="s">
        <v>39</v>
      </c>
      <c r="C15" s="9" t="s">
        <v>24</v>
      </c>
      <c r="D15" s="10">
        <v>368410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368410</v>
      </c>
    </row>
    <row r="16" spans="1:10" x14ac:dyDescent="0.25">
      <c r="A16" s="9">
        <v>15</v>
      </c>
      <c r="B16" s="9" t="s">
        <v>94</v>
      </c>
      <c r="C16" s="9" t="s">
        <v>95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340432</v>
      </c>
      <c r="J16" s="10">
        <v>340432</v>
      </c>
    </row>
    <row r="17" spans="1:10" x14ac:dyDescent="0.25">
      <c r="A17" s="9">
        <v>16</v>
      </c>
      <c r="B17" s="9" t="s">
        <v>94</v>
      </c>
      <c r="C17" s="9" t="s">
        <v>96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320000</v>
      </c>
      <c r="J17" s="10">
        <v>320000</v>
      </c>
    </row>
    <row r="18" spans="1:10" x14ac:dyDescent="0.25">
      <c r="A18" s="9">
        <v>17</v>
      </c>
      <c r="B18" s="9" t="s">
        <v>94</v>
      </c>
      <c r="C18" s="9" t="s">
        <v>97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228071</v>
      </c>
      <c r="J18" s="10">
        <v>228071</v>
      </c>
    </row>
    <row r="19" spans="1:10" x14ac:dyDescent="0.25">
      <c r="A19" s="9">
        <v>18</v>
      </c>
      <c r="B19" s="9" t="s">
        <v>41</v>
      </c>
      <c r="C19" s="9" t="s">
        <v>78</v>
      </c>
      <c r="D19" s="10">
        <v>143207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143207</v>
      </c>
    </row>
    <row r="20" spans="1:10" x14ac:dyDescent="0.25">
      <c r="A20" s="9">
        <v>19</v>
      </c>
      <c r="B20" s="9" t="s">
        <v>63</v>
      </c>
      <c r="C20" s="9" t="s">
        <v>98</v>
      </c>
      <c r="D20" s="10">
        <v>0</v>
      </c>
      <c r="E20" s="10">
        <v>0</v>
      </c>
      <c r="F20" s="10">
        <v>0</v>
      </c>
      <c r="G20" s="10">
        <v>86845</v>
      </c>
      <c r="H20" s="10">
        <v>0</v>
      </c>
      <c r="I20" s="10">
        <v>2150</v>
      </c>
      <c r="J20" s="10">
        <v>88995</v>
      </c>
    </row>
    <row r="21" spans="1:10" x14ac:dyDescent="0.25">
      <c r="A21" s="9">
        <v>20</v>
      </c>
      <c r="B21" s="9" t="s">
        <v>63</v>
      </c>
      <c r="C21" s="9" t="s">
        <v>99</v>
      </c>
      <c r="D21" s="10">
        <v>0</v>
      </c>
      <c r="E21" s="10">
        <v>0</v>
      </c>
      <c r="F21" s="10">
        <v>0</v>
      </c>
      <c r="G21" s="10">
        <v>0</v>
      </c>
      <c r="H21" s="10">
        <v>71658</v>
      </c>
      <c r="I21" s="10">
        <v>0</v>
      </c>
      <c r="J21" s="10">
        <v>71658</v>
      </c>
    </row>
    <row r="22" spans="1:10" x14ac:dyDescent="0.25">
      <c r="A22" s="9">
        <v>21</v>
      </c>
      <c r="B22" s="9" t="s">
        <v>100</v>
      </c>
      <c r="C22" s="9" t="s">
        <v>101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60000</v>
      </c>
      <c r="J22" s="10">
        <v>60000</v>
      </c>
    </row>
    <row r="23" spans="1:10" x14ac:dyDescent="0.25">
      <c r="A23" s="9">
        <v>22</v>
      </c>
      <c r="B23" s="9" t="s">
        <v>58</v>
      </c>
      <c r="C23" s="9" t="s">
        <v>59</v>
      </c>
      <c r="D23" s="10">
        <v>0</v>
      </c>
      <c r="E23" s="10">
        <v>58462</v>
      </c>
      <c r="F23" s="10">
        <v>0</v>
      </c>
      <c r="G23" s="10">
        <v>0</v>
      </c>
      <c r="H23" s="10">
        <v>0</v>
      </c>
      <c r="I23" s="10">
        <v>0</v>
      </c>
      <c r="J23" s="10">
        <v>58462</v>
      </c>
    </row>
    <row r="24" spans="1:10" x14ac:dyDescent="0.25">
      <c r="A24" s="9">
        <v>23</v>
      </c>
      <c r="B24" s="9" t="s">
        <v>102</v>
      </c>
      <c r="C24" s="9" t="s">
        <v>103</v>
      </c>
      <c r="D24" s="10">
        <v>0</v>
      </c>
      <c r="E24" s="10">
        <v>54126</v>
      </c>
      <c r="F24" s="10">
        <v>0</v>
      </c>
      <c r="G24" s="10">
        <v>0</v>
      </c>
      <c r="H24" s="10">
        <v>0</v>
      </c>
      <c r="I24" s="10">
        <v>0</v>
      </c>
      <c r="J24" s="10">
        <v>54126</v>
      </c>
    </row>
    <row r="25" spans="1:10" x14ac:dyDescent="0.25">
      <c r="A25" s="9">
        <v>24</v>
      </c>
      <c r="B25" s="9" t="s">
        <v>63</v>
      </c>
      <c r="C25" s="9" t="s">
        <v>64</v>
      </c>
      <c r="D25" s="10">
        <v>0</v>
      </c>
      <c r="E25" s="10">
        <v>2777</v>
      </c>
      <c r="F25" s="10">
        <v>11205</v>
      </c>
      <c r="G25" s="10">
        <v>2153</v>
      </c>
      <c r="H25" s="10">
        <v>6560</v>
      </c>
      <c r="I25" s="10">
        <v>12194</v>
      </c>
      <c r="J25" s="10">
        <v>34889</v>
      </c>
    </row>
    <row r="26" spans="1:10" x14ac:dyDescent="0.25">
      <c r="A26" s="9">
        <v>25</v>
      </c>
      <c r="B26" s="9" t="s">
        <v>63</v>
      </c>
      <c r="C26" s="9" t="s">
        <v>104</v>
      </c>
      <c r="D26" s="10">
        <v>0</v>
      </c>
      <c r="E26" s="10">
        <v>0</v>
      </c>
      <c r="F26" s="10">
        <v>19129</v>
      </c>
      <c r="G26" s="10">
        <v>0</v>
      </c>
      <c r="H26" s="10">
        <v>0</v>
      </c>
      <c r="I26" s="10">
        <v>0</v>
      </c>
      <c r="J26" s="10">
        <v>19129</v>
      </c>
    </row>
    <row r="27" spans="1:10" x14ac:dyDescent="0.25">
      <c r="A27" s="9">
        <v>26</v>
      </c>
      <c r="B27" s="9" t="s">
        <v>63</v>
      </c>
      <c r="C27" s="9" t="s">
        <v>65</v>
      </c>
      <c r="D27" s="10">
        <v>0</v>
      </c>
      <c r="E27" s="10">
        <v>5628</v>
      </c>
      <c r="F27" s="10">
        <v>2095</v>
      </c>
      <c r="G27" s="10">
        <v>1111</v>
      </c>
      <c r="H27" s="10">
        <v>100</v>
      </c>
      <c r="I27" s="10">
        <v>0</v>
      </c>
      <c r="J27" s="10">
        <v>8934</v>
      </c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/>
  </sheetViews>
  <sheetFormatPr defaultRowHeight="15" x14ac:dyDescent="0.25"/>
  <cols>
    <col min="1" max="1" width="10" customWidth="1"/>
  </cols>
  <sheetData>
    <row r="1" spans="1:10" ht="16.5" x14ac:dyDescent="0.25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18</v>
      </c>
      <c r="I1" s="14" t="s">
        <v>19</v>
      </c>
      <c r="J1" s="14" t="s">
        <v>20</v>
      </c>
    </row>
    <row r="2" spans="1:10" x14ac:dyDescent="0.25">
      <c r="A2" s="15">
        <v>1</v>
      </c>
      <c r="B2" s="15" t="s">
        <v>21</v>
      </c>
      <c r="C2" s="15" t="s">
        <v>82</v>
      </c>
      <c r="D2" s="16">
        <v>925074</v>
      </c>
      <c r="E2" s="16">
        <v>733034</v>
      </c>
      <c r="F2" s="16">
        <v>673991</v>
      </c>
      <c r="G2" s="16">
        <v>492883</v>
      </c>
      <c r="H2" s="16">
        <v>600195</v>
      </c>
      <c r="I2" s="16">
        <v>576777</v>
      </c>
      <c r="J2" s="16">
        <v>4001954</v>
      </c>
    </row>
    <row r="3" spans="1:10" x14ac:dyDescent="0.25">
      <c r="A3" s="15">
        <v>2</v>
      </c>
      <c r="B3" s="15" t="s">
        <v>23</v>
      </c>
      <c r="C3" s="15" t="s">
        <v>83</v>
      </c>
      <c r="D3" s="16">
        <v>794969</v>
      </c>
      <c r="E3" s="16">
        <v>405043</v>
      </c>
      <c r="F3" s="16">
        <v>304339</v>
      </c>
      <c r="G3" s="16">
        <v>346871</v>
      </c>
      <c r="H3" s="16">
        <v>275741</v>
      </c>
      <c r="I3" s="16">
        <v>290860</v>
      </c>
      <c r="J3" s="16">
        <v>2417823</v>
      </c>
    </row>
    <row r="4" spans="1:10" x14ac:dyDescent="0.25">
      <c r="A4" s="15">
        <v>3</v>
      </c>
      <c r="B4" s="15" t="s">
        <v>31</v>
      </c>
      <c r="C4" s="15" t="s">
        <v>28</v>
      </c>
      <c r="D4" s="16">
        <v>960781</v>
      </c>
      <c r="E4" s="16">
        <v>225279</v>
      </c>
      <c r="F4" s="16">
        <v>134887</v>
      </c>
      <c r="G4" s="16">
        <v>236531</v>
      </c>
      <c r="H4" s="16">
        <v>82920</v>
      </c>
      <c r="I4" s="16">
        <v>281268</v>
      </c>
      <c r="J4" s="16">
        <v>1921666</v>
      </c>
    </row>
    <row r="5" spans="1:10" x14ac:dyDescent="0.25">
      <c r="A5" s="15">
        <v>4</v>
      </c>
      <c r="B5" s="15" t="s">
        <v>50</v>
      </c>
      <c r="C5" s="15" t="s">
        <v>85</v>
      </c>
      <c r="D5" s="16">
        <v>508450</v>
      </c>
      <c r="E5" s="16">
        <v>259031</v>
      </c>
      <c r="F5" s="16">
        <v>109354</v>
      </c>
      <c r="G5" s="16">
        <v>203504</v>
      </c>
      <c r="H5" s="16">
        <v>200419</v>
      </c>
      <c r="I5" s="16">
        <v>190069</v>
      </c>
      <c r="J5" s="16">
        <v>1470827</v>
      </c>
    </row>
    <row r="6" spans="1:10" x14ac:dyDescent="0.25">
      <c r="A6" s="15">
        <v>5</v>
      </c>
      <c r="B6" s="15" t="s">
        <v>27</v>
      </c>
      <c r="C6" s="15" t="s">
        <v>93</v>
      </c>
      <c r="D6" s="16">
        <v>353927</v>
      </c>
      <c r="E6" s="16">
        <v>122336</v>
      </c>
      <c r="F6" s="16">
        <v>115902</v>
      </c>
      <c r="G6" s="16">
        <v>138594</v>
      </c>
      <c r="H6" s="16">
        <v>63322</v>
      </c>
      <c r="I6" s="16">
        <v>215451</v>
      </c>
      <c r="J6" s="16">
        <v>1009532</v>
      </c>
    </row>
    <row r="7" spans="1:10" x14ac:dyDescent="0.25">
      <c r="A7" s="15">
        <v>6</v>
      </c>
      <c r="B7" s="15" t="s">
        <v>33</v>
      </c>
      <c r="C7" s="15" t="s">
        <v>89</v>
      </c>
      <c r="D7" s="16">
        <v>243413</v>
      </c>
      <c r="E7" s="16">
        <v>90993</v>
      </c>
      <c r="F7" s="16">
        <v>34153</v>
      </c>
      <c r="G7" s="16">
        <v>70000</v>
      </c>
      <c r="H7" s="16">
        <v>323843</v>
      </c>
      <c r="I7" s="16">
        <v>100735</v>
      </c>
      <c r="J7" s="16">
        <v>863137</v>
      </c>
    </row>
    <row r="8" spans="1:10" x14ac:dyDescent="0.25">
      <c r="A8" s="15">
        <v>7</v>
      </c>
      <c r="B8" s="15" t="s">
        <v>35</v>
      </c>
      <c r="C8" s="15" t="s">
        <v>56</v>
      </c>
      <c r="D8" s="16">
        <v>292790</v>
      </c>
      <c r="E8" s="16">
        <v>89038</v>
      </c>
      <c r="F8" s="16">
        <v>208083</v>
      </c>
      <c r="G8" s="16">
        <v>92222</v>
      </c>
      <c r="H8" s="16">
        <v>58660</v>
      </c>
      <c r="I8" s="16">
        <v>120384</v>
      </c>
      <c r="J8" s="16">
        <v>861177</v>
      </c>
    </row>
    <row r="9" spans="1:10" x14ac:dyDescent="0.25">
      <c r="A9" s="15">
        <v>8</v>
      </c>
      <c r="B9" s="15" t="s">
        <v>41</v>
      </c>
      <c r="C9" s="15" t="s">
        <v>88</v>
      </c>
      <c r="D9" s="16">
        <v>153723</v>
      </c>
      <c r="E9" s="16">
        <v>134881</v>
      </c>
      <c r="F9" s="16">
        <v>116973</v>
      </c>
      <c r="G9" s="16">
        <v>65144</v>
      </c>
      <c r="H9" s="16">
        <v>119780</v>
      </c>
      <c r="I9" s="16">
        <v>87559</v>
      </c>
      <c r="J9" s="16">
        <v>678060</v>
      </c>
    </row>
    <row r="10" spans="1:10" x14ac:dyDescent="0.25">
      <c r="A10" s="15">
        <v>9</v>
      </c>
      <c r="B10" s="15" t="s">
        <v>25</v>
      </c>
      <c r="C10" s="15" t="s">
        <v>105</v>
      </c>
      <c r="D10" s="16">
        <v>0</v>
      </c>
      <c r="E10" s="16">
        <v>141217</v>
      </c>
      <c r="F10" s="16">
        <v>148980</v>
      </c>
      <c r="G10" s="16">
        <v>51930</v>
      </c>
      <c r="H10" s="16">
        <v>183924</v>
      </c>
      <c r="I10" s="16">
        <v>58123</v>
      </c>
      <c r="J10" s="16">
        <v>584174</v>
      </c>
    </row>
    <row r="11" spans="1:10" x14ac:dyDescent="0.25">
      <c r="A11" s="15">
        <v>10</v>
      </c>
      <c r="B11" s="15" t="s">
        <v>60</v>
      </c>
      <c r="C11" s="15" t="s">
        <v>36</v>
      </c>
      <c r="D11" s="16">
        <v>217561</v>
      </c>
      <c r="E11" s="16">
        <v>44244</v>
      </c>
      <c r="F11" s="16">
        <v>64293</v>
      </c>
      <c r="G11" s="16">
        <v>97130</v>
      </c>
      <c r="H11" s="16">
        <v>25888</v>
      </c>
      <c r="I11" s="16">
        <v>60000</v>
      </c>
      <c r="J11" s="16">
        <v>509116</v>
      </c>
    </row>
    <row r="12" spans="1:10" x14ac:dyDescent="0.25">
      <c r="A12" s="15">
        <v>11</v>
      </c>
      <c r="B12" s="15" t="s">
        <v>37</v>
      </c>
      <c r="C12" s="15" t="s">
        <v>91</v>
      </c>
      <c r="D12" s="16">
        <v>216364</v>
      </c>
      <c r="E12" s="16">
        <v>66097</v>
      </c>
      <c r="F12" s="16">
        <v>24609</v>
      </c>
      <c r="G12" s="16">
        <v>57100</v>
      </c>
      <c r="H12" s="16">
        <v>34391</v>
      </c>
      <c r="I12" s="16">
        <v>102500</v>
      </c>
      <c r="J12" s="16">
        <v>501061</v>
      </c>
    </row>
    <row r="13" spans="1:10" x14ac:dyDescent="0.25">
      <c r="A13" s="15">
        <v>12</v>
      </c>
      <c r="B13" s="15" t="s">
        <v>58</v>
      </c>
      <c r="C13" s="15" t="s">
        <v>59</v>
      </c>
      <c r="D13" s="16">
        <v>0</v>
      </c>
      <c r="E13" s="16">
        <v>50428</v>
      </c>
      <c r="F13" s="16">
        <v>0</v>
      </c>
      <c r="G13" s="16">
        <v>293447</v>
      </c>
      <c r="H13" s="16">
        <v>0</v>
      </c>
      <c r="I13" s="16">
        <v>100103</v>
      </c>
      <c r="J13" s="16">
        <v>443978</v>
      </c>
    </row>
    <row r="14" spans="1:10" x14ac:dyDescent="0.25">
      <c r="A14" s="15">
        <v>13</v>
      </c>
      <c r="B14" s="15" t="s">
        <v>25</v>
      </c>
      <c r="C14" s="15" t="s">
        <v>106</v>
      </c>
      <c r="D14" s="16">
        <v>0</v>
      </c>
      <c r="E14" s="16">
        <v>20002</v>
      </c>
      <c r="F14" s="16">
        <v>18645</v>
      </c>
      <c r="G14" s="16">
        <v>110470</v>
      </c>
      <c r="H14" s="16">
        <v>51020</v>
      </c>
      <c r="I14" s="16">
        <v>50742</v>
      </c>
      <c r="J14" s="16">
        <v>250879</v>
      </c>
    </row>
    <row r="15" spans="1:10" x14ac:dyDescent="0.25">
      <c r="A15" s="15">
        <v>14</v>
      </c>
      <c r="B15" s="15" t="s">
        <v>25</v>
      </c>
      <c r="C15" s="15" t="s">
        <v>107</v>
      </c>
      <c r="D15" s="16">
        <v>0</v>
      </c>
      <c r="E15" s="16">
        <v>39133</v>
      </c>
      <c r="F15" s="16">
        <v>34155</v>
      </c>
      <c r="G15" s="16">
        <v>37861</v>
      </c>
      <c r="H15" s="16">
        <v>52535</v>
      </c>
      <c r="I15" s="16">
        <v>50000</v>
      </c>
      <c r="J15" s="16">
        <v>213684</v>
      </c>
    </row>
    <row r="16" spans="1:10" x14ac:dyDescent="0.25">
      <c r="A16" s="15">
        <v>15</v>
      </c>
      <c r="B16" s="15" t="s">
        <v>29</v>
      </c>
      <c r="C16" s="15" t="s">
        <v>77</v>
      </c>
      <c r="D16" s="16">
        <v>165289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165289</v>
      </c>
    </row>
    <row r="17" spans="1:10" x14ac:dyDescent="0.25">
      <c r="A17" s="15">
        <v>16</v>
      </c>
      <c r="B17" s="15" t="s">
        <v>63</v>
      </c>
      <c r="C17" s="15" t="s">
        <v>99</v>
      </c>
      <c r="D17" s="16">
        <v>61834</v>
      </c>
      <c r="E17" s="16">
        <v>10610</v>
      </c>
      <c r="F17" s="16">
        <v>5853</v>
      </c>
      <c r="G17" s="16">
        <v>14273</v>
      </c>
      <c r="H17" s="16">
        <v>22525</v>
      </c>
      <c r="I17" s="16">
        <v>31828</v>
      </c>
      <c r="J17" s="16">
        <v>146923</v>
      </c>
    </row>
    <row r="18" spans="1:10" x14ac:dyDescent="0.25">
      <c r="A18" s="15">
        <v>17</v>
      </c>
      <c r="B18" s="15" t="s">
        <v>25</v>
      </c>
      <c r="C18" s="15" t="s">
        <v>108</v>
      </c>
      <c r="D18" s="16">
        <v>0</v>
      </c>
      <c r="E18" s="16">
        <v>26142</v>
      </c>
      <c r="F18" s="16">
        <v>10211</v>
      </c>
      <c r="G18" s="16">
        <v>26796</v>
      </c>
      <c r="H18" s="16">
        <v>15651</v>
      </c>
      <c r="I18" s="16">
        <v>52045</v>
      </c>
      <c r="J18" s="16">
        <v>130845</v>
      </c>
    </row>
    <row r="19" spans="1:10" x14ac:dyDescent="0.25">
      <c r="A19" s="15">
        <v>18</v>
      </c>
      <c r="B19" s="15" t="s">
        <v>39</v>
      </c>
      <c r="C19" s="15" t="s">
        <v>26</v>
      </c>
      <c r="D19" s="16">
        <v>99696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99696</v>
      </c>
    </row>
    <row r="20" spans="1:10" x14ac:dyDescent="0.25">
      <c r="A20" s="15">
        <v>19</v>
      </c>
      <c r="B20" s="15" t="s">
        <v>63</v>
      </c>
      <c r="C20" s="15" t="s">
        <v>98</v>
      </c>
      <c r="D20" s="16">
        <v>11200</v>
      </c>
      <c r="E20" s="16">
        <v>7092</v>
      </c>
      <c r="F20" s="16">
        <v>2717</v>
      </c>
      <c r="G20" s="16">
        <v>12104</v>
      </c>
      <c r="H20" s="16">
        <v>1100</v>
      </c>
      <c r="I20" s="16">
        <v>30818</v>
      </c>
      <c r="J20" s="16">
        <v>65031</v>
      </c>
    </row>
    <row r="21" spans="1:10" x14ac:dyDescent="0.25">
      <c r="A21" s="15">
        <v>20</v>
      </c>
      <c r="B21" s="15" t="s">
        <v>63</v>
      </c>
      <c r="C21" s="15" t="s">
        <v>64</v>
      </c>
      <c r="D21" s="16">
        <v>0</v>
      </c>
      <c r="E21" s="16">
        <v>6025</v>
      </c>
      <c r="F21" s="16">
        <v>1595</v>
      </c>
      <c r="G21" s="16">
        <v>12147</v>
      </c>
      <c r="H21" s="16">
        <v>2100</v>
      </c>
      <c r="I21" s="16">
        <v>31316</v>
      </c>
      <c r="J21" s="16">
        <v>53183</v>
      </c>
    </row>
    <row r="22" spans="1:10" x14ac:dyDescent="0.25">
      <c r="A22" s="15">
        <v>21</v>
      </c>
      <c r="B22" s="15" t="s">
        <v>63</v>
      </c>
      <c r="C22" s="15" t="s">
        <v>109</v>
      </c>
      <c r="D22" s="16">
        <v>18405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18405</v>
      </c>
    </row>
    <row r="23" spans="1:10" x14ac:dyDescent="0.25">
      <c r="A23" s="15">
        <v>22</v>
      </c>
      <c r="B23" s="15" t="s">
        <v>60</v>
      </c>
      <c r="C23" s="15" t="s">
        <v>110</v>
      </c>
      <c r="D23" s="16">
        <v>11813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11813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누적기여도</vt:lpstr>
      <vt:lpstr>S1~S10 YXL_기여도</vt:lpstr>
      <vt:lpstr>YXL_시즌1_기여도</vt:lpstr>
      <vt:lpstr>YXL_시즌2_기여도표</vt:lpstr>
      <vt:lpstr>YXL_시즌3_기여도표</vt:lpstr>
      <vt:lpstr>YXL_시즌4_기여도표</vt:lpstr>
      <vt:lpstr>YXL_시즌5_기여도표</vt:lpstr>
      <vt:lpstr>YXL_시즌6_기여도표</vt:lpstr>
      <vt:lpstr>YXL_시즌7_누적기여도</vt:lpstr>
      <vt:lpstr>YXL_시즌8_누적기여도</vt:lpstr>
      <vt:lpstr>YXL_시즌9_누적기여도</vt:lpstr>
      <vt:lpstr>YXL_시즌10_누적기여도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고봉민김치</dc:creator>
  <cp:lastModifiedBy>김치 고봉민</cp:lastModifiedBy>
  <dcterms:created xsi:type="dcterms:W3CDTF">2025-12-25T07:46:35Z</dcterms:created>
  <dcterms:modified xsi:type="dcterms:W3CDTF">2025-12-25T07:46:35Z</dcterms:modified>
</cp:coreProperties>
</file>